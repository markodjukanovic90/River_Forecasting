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obo91/Desktop/Doktorat/Doktorat-baza podataka/Proticaji/1961-2025/"/>
    </mc:Choice>
  </mc:AlternateContent>
  <xr:revisionPtr revIDLastSave="0" documentId="13_ncr:1_{077B6255-4168-8047-BB8A-13086430B80D}" xr6:coauthVersionLast="47" xr6:coauthVersionMax="47" xr10:uidLastSave="{00000000-0000-0000-0000-000000000000}"/>
  <bookViews>
    <workbookView xWindow="780" yWindow="1000" windowWidth="27640" windowHeight="15780" xr2:uid="{D47D1377-8B87-3A41-878C-4BC4312C16D5}"/>
  </bookViews>
  <sheets>
    <sheet name="qsred" sheetId="1" r:id="rId1"/>
    <sheet name="qmax" sheetId="2" r:id="rId2"/>
    <sheet name="q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6" i="1" l="1"/>
  <c r="N66" i="2"/>
  <c r="N66" i="3"/>
  <c r="N65" i="2"/>
  <c r="N65" i="3"/>
  <c r="N65" i="1"/>
  <c r="N62" i="1"/>
  <c r="N63" i="1"/>
  <c r="N64" i="1"/>
  <c r="N63" i="2"/>
  <c r="N64" i="2"/>
  <c r="N62" i="2"/>
  <c r="N63" i="3"/>
  <c r="N64" i="3"/>
  <c r="N62" i="3"/>
  <c r="N59" i="1"/>
  <c r="N60" i="1"/>
  <c r="N61" i="1"/>
  <c r="N58" i="1"/>
</calcChain>
</file>

<file path=xl/sharedStrings.xml><?xml version="1.0" encoding="utf-8"?>
<sst xmlns="http://schemas.openxmlformats.org/spreadsheetml/2006/main" count="39" uniqueCount="15">
  <si>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</si>
  <si>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</si>
  <si>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</si>
  <si>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</si>
  <si>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</si>
  <si>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</si>
  <si>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</si>
  <si>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</si>
  <si>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</si>
  <si>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 xml:space="preserve">okt </t>
  </si>
  <si>
    <t>nov</t>
  </si>
  <si>
    <t>dec</t>
  </si>
  <si>
    <t>god</t>
  </si>
  <si>
    <t xml:space="preserve">avg </t>
  </si>
  <si>
    <t>okt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</si>
</sst>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3" borderId="1" xfId="0" applyNumberFormat="1" applyFill="1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3" borderId="1" xfId="0" applyNumberFormat="1" applyFill="1" applyBorder="1"/>
  </cellXfs>
  <cellStyles count="2">
    <cellStyle name="Normal" xfId="0" builtinId="0"/>
    <cellStyle name="Normal 2" xfId="1" xr:uid="{C836BE00-5EDB-9745-BED4-B5027ADE5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079E-DB90-EA40-9BC7-8FF76755578D}">
  <dimension ref="A1:N66"/>
  <sheetViews>
    <sheetView tabSelected="1" topLeftCell="A47" zoomScale="75" workbookViewId="0">
      <selection activeCell="A66" sqref="A66:N66"/>
    </sheetView>
  </sheetViews>
  <sheetFormatPr baseColWidth="10" defaultRowHeight="16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1961</v>
      </c>
      <c r="B2" s="2">
        <v>132.61352138078701</v>
      </c>
      <c r="C2" s="2">
        <v>163.04652695170714</v>
      </c>
      <c r="D2" s="2">
        <v>141.18468290121294</v>
      </c>
      <c r="E2" s="2">
        <v>115.28448971046001</v>
      </c>
      <c r="F2" s="2">
        <v>352.81183261142581</v>
      </c>
      <c r="G2" s="2">
        <v>127.70215707914002</v>
      </c>
      <c r="H2" s="2">
        <v>50.681535755419368</v>
      </c>
      <c r="I2" s="2">
        <v>31.375695633232255</v>
      </c>
      <c r="J2" s="2">
        <v>23.235843647246664</v>
      </c>
      <c r="K2" s="2">
        <v>72.962715615429047</v>
      </c>
      <c r="L2" s="2">
        <v>118.79158529665999</v>
      </c>
      <c r="M2" s="2">
        <v>137.42473801125485</v>
      </c>
      <c r="N2" s="2">
        <v>122.25961038283127</v>
      </c>
    </row>
    <row r="3" spans="1:14" x14ac:dyDescent="0.2">
      <c r="A3" s="1">
        <v>1962</v>
      </c>
      <c r="B3" s="2">
        <v>174.9605988258387</v>
      </c>
      <c r="C3" s="2">
        <v>227.40538030382859</v>
      </c>
      <c r="D3" s="2">
        <v>461.00332263334838</v>
      </c>
      <c r="E3" s="2">
        <v>536.65817488695677</v>
      </c>
      <c r="F3" s="2">
        <v>165.33683691778714</v>
      </c>
      <c r="G3" s="2">
        <v>74.746293120866667</v>
      </c>
      <c r="H3" s="2">
        <v>62.315157261470958</v>
      </c>
      <c r="I3" s="2">
        <v>29.710384429174191</v>
      </c>
      <c r="J3" s="2">
        <v>22.977966237553339</v>
      </c>
      <c r="K3" s="2">
        <v>24.709254034516125</v>
      </c>
      <c r="L3" s="2">
        <v>119.32901532199334</v>
      </c>
      <c r="M3" s="2">
        <v>184.90979540152904</v>
      </c>
      <c r="N3" s="2">
        <v>173.6718482812386</v>
      </c>
    </row>
    <row r="4" spans="1:14" x14ac:dyDescent="0.2">
      <c r="A4" s="1">
        <v>1963</v>
      </c>
      <c r="B4" s="2">
        <v>292.05537405135152</v>
      </c>
      <c r="C4" s="2">
        <v>400.61123092529641</v>
      </c>
      <c r="D4" s="2">
        <v>265.9981444286226</v>
      </c>
      <c r="E4" s="2">
        <v>277.31132647651674</v>
      </c>
      <c r="F4" s="2">
        <v>163.45864587725163</v>
      </c>
      <c r="G4" s="2">
        <v>154.90876166681335</v>
      </c>
      <c r="H4" s="2">
        <v>67.40485198612258</v>
      </c>
      <c r="I4" s="2">
        <v>43.704087505612904</v>
      </c>
      <c r="J4" s="2">
        <v>40.935988847033322</v>
      </c>
      <c r="K4" s="2">
        <v>36.103413214967745</v>
      </c>
      <c r="L4" s="2">
        <v>57.150729640153337</v>
      </c>
      <c r="M4" s="2">
        <v>116.18395895860647</v>
      </c>
      <c r="N4" s="2">
        <v>159.65220946486238</v>
      </c>
    </row>
    <row r="5" spans="1:14" x14ac:dyDescent="0.2">
      <c r="A5" s="1">
        <v>1964</v>
      </c>
      <c r="B5" s="2">
        <v>66.166713078929035</v>
      </c>
      <c r="C5" s="2">
        <v>184.47797514770002</v>
      </c>
      <c r="D5" s="2">
        <v>311.72182482281301</v>
      </c>
      <c r="E5" s="2">
        <v>195.77285339594994</v>
      </c>
      <c r="F5" s="2">
        <v>163.22195180908713</v>
      </c>
      <c r="G5" s="2">
        <v>172.46911898290998</v>
      </c>
      <c r="H5" s="2">
        <v>133.83448354793222</v>
      </c>
      <c r="I5" s="2">
        <v>88.225420220532271</v>
      </c>
      <c r="J5" s="2">
        <v>69.614406138813351</v>
      </c>
      <c r="K5" s="2">
        <v>284.34291145017744</v>
      </c>
      <c r="L5" s="2">
        <v>374.65951749918992</v>
      </c>
      <c r="M5" s="2">
        <v>389.32950402523869</v>
      </c>
      <c r="N5" s="2">
        <v>202.81972334327273</v>
      </c>
    </row>
    <row r="6" spans="1:14" x14ac:dyDescent="0.2">
      <c r="A6" s="1">
        <v>1965</v>
      </c>
      <c r="B6" s="2">
        <v>225.4542780018935</v>
      </c>
      <c r="C6" s="2">
        <v>209.84018111984642</v>
      </c>
      <c r="D6" s="2">
        <v>377.11367430143872</v>
      </c>
      <c r="E6" s="2">
        <v>299.52468425030332</v>
      </c>
      <c r="F6" s="2">
        <v>541.02696831074513</v>
      </c>
      <c r="G6" s="2">
        <v>156.71449197042003</v>
      </c>
      <c r="H6" s="2">
        <v>65.421815670887113</v>
      </c>
      <c r="I6" s="2">
        <v>39.188757548325803</v>
      </c>
      <c r="J6" s="2">
        <v>59.100297613693314</v>
      </c>
      <c r="K6" s="2">
        <v>34.079253074583868</v>
      </c>
      <c r="L6" s="2">
        <v>95.686935768420014</v>
      </c>
      <c r="M6" s="2">
        <v>233.32029698944834</v>
      </c>
      <c r="N6" s="2">
        <v>194.70596955166715</v>
      </c>
    </row>
    <row r="7" spans="1:14" x14ac:dyDescent="0.2">
      <c r="A7" s="1">
        <v>1966</v>
      </c>
      <c r="B7" s="2">
        <v>138.04371995575809</v>
      </c>
      <c r="C7" s="2">
        <v>274.60181991390715</v>
      </c>
      <c r="D7" s="2">
        <v>242.30658109535813</v>
      </c>
      <c r="E7" s="2">
        <v>305.84271821856998</v>
      </c>
      <c r="F7" s="2">
        <v>230.65702949905804</v>
      </c>
      <c r="G7" s="2">
        <v>104.56251200231333</v>
      </c>
      <c r="H7" s="2">
        <v>84.775612636906445</v>
      </c>
      <c r="I7" s="2">
        <v>57.732756140958053</v>
      </c>
      <c r="J7" s="2">
        <v>43.685998194666666</v>
      </c>
      <c r="K7" s="2">
        <v>42.442777369396765</v>
      </c>
      <c r="L7" s="2">
        <v>135.82219375642666</v>
      </c>
      <c r="M7" s="2">
        <v>215.11928867549355</v>
      </c>
      <c r="N7" s="2">
        <v>156.29941728823442</v>
      </c>
    </row>
    <row r="8" spans="1:14" x14ac:dyDescent="0.2">
      <c r="A8" s="1">
        <v>1967</v>
      </c>
      <c r="B8" s="2">
        <v>137.85370737877099</v>
      </c>
      <c r="C8" s="2">
        <v>190.02837649919283</v>
      </c>
      <c r="D8" s="2">
        <v>321.17406641364846</v>
      </c>
      <c r="E8" s="2">
        <v>382.07395466355013</v>
      </c>
      <c r="F8" s="2">
        <v>209.46335270142259</v>
      </c>
      <c r="G8" s="2">
        <v>159.73590170732666</v>
      </c>
      <c r="H8" s="2">
        <v>165.27471088585159</v>
      </c>
      <c r="I8" s="2">
        <v>44.838852584832274</v>
      </c>
      <c r="J8" s="2">
        <v>41.223684474599992</v>
      </c>
      <c r="K8" s="2">
        <v>31.574650649999995</v>
      </c>
      <c r="L8" s="2">
        <v>34.614007375180002</v>
      </c>
      <c r="M8" s="2">
        <v>157.08871795693545</v>
      </c>
      <c r="N8" s="2">
        <v>156.24533194094261</v>
      </c>
    </row>
    <row r="9" spans="1:14" x14ac:dyDescent="0.2">
      <c r="A9" s="1">
        <v>1968</v>
      </c>
      <c r="B9" s="2">
        <v>232.0045161257645</v>
      </c>
      <c r="C9" s="2">
        <v>380.83255053303441</v>
      </c>
      <c r="D9" s="2">
        <v>196.10652676413221</v>
      </c>
      <c r="E9" s="2">
        <v>141.71208714847998</v>
      </c>
      <c r="F9" s="2">
        <v>89.643304135654844</v>
      </c>
      <c r="G9" s="2">
        <v>174.13194084271331</v>
      </c>
      <c r="H9" s="2">
        <v>62.440068658461286</v>
      </c>
      <c r="I9" s="2">
        <v>125.98324796914514</v>
      </c>
      <c r="J9" s="2">
        <v>158.48126343732665</v>
      </c>
      <c r="K9" s="2">
        <v>111.56421083841614</v>
      </c>
      <c r="L9" s="2">
        <v>313.98810473315666</v>
      </c>
      <c r="M9" s="2">
        <v>322.35861276625803</v>
      </c>
      <c r="N9" s="2">
        <v>192.43720282937861</v>
      </c>
    </row>
    <row r="10" spans="1:14" x14ac:dyDescent="0.2">
      <c r="A10" s="1">
        <v>1969</v>
      </c>
      <c r="B10" s="2">
        <v>173.11720889162908</v>
      </c>
      <c r="C10" s="2">
        <v>412.15586499856204</v>
      </c>
      <c r="D10" s="2">
        <v>294.42573277852904</v>
      </c>
      <c r="E10" s="2">
        <v>279.93415181430674</v>
      </c>
      <c r="F10" s="2">
        <v>170.38076035677099</v>
      </c>
      <c r="G10" s="2">
        <v>199.24735551876995</v>
      </c>
      <c r="H10" s="2">
        <v>161.25182924317417</v>
      </c>
      <c r="I10" s="2">
        <v>95.385378375319348</v>
      </c>
      <c r="J10" s="2">
        <v>108.87950825013331</v>
      </c>
      <c r="K10" s="2">
        <v>48.561137061751595</v>
      </c>
      <c r="L10" s="2">
        <v>79.053876268526636</v>
      </c>
      <c r="M10" s="2">
        <v>176.22327483276777</v>
      </c>
      <c r="N10" s="2">
        <v>183.21800653252004</v>
      </c>
    </row>
    <row r="11" spans="1:14" x14ac:dyDescent="0.2">
      <c r="A11" s="1">
        <v>1970</v>
      </c>
      <c r="B11" s="2">
        <v>615.39359061479024</v>
      </c>
      <c r="C11" s="2">
        <v>421.82770934012507</v>
      </c>
      <c r="D11" s="2">
        <v>403.6937894550839</v>
      </c>
      <c r="E11" s="2">
        <v>436.96443987331679</v>
      </c>
      <c r="F11" s="2">
        <v>276.55848767786779</v>
      </c>
      <c r="G11" s="2">
        <v>177.33414909381332</v>
      </c>
      <c r="H11" s="2">
        <v>152.23395035714194</v>
      </c>
      <c r="I11" s="2">
        <v>62.110383888825794</v>
      </c>
      <c r="J11" s="2">
        <v>41.973676402173318</v>
      </c>
      <c r="K11" s="2">
        <v>74.750814628651611</v>
      </c>
      <c r="L11" s="2">
        <v>125.85242050175999</v>
      </c>
      <c r="M11" s="2">
        <v>115.86736547099677</v>
      </c>
      <c r="N11" s="2">
        <v>242.0467314420456</v>
      </c>
    </row>
    <row r="12" spans="1:14" x14ac:dyDescent="0.2">
      <c r="A12" s="1">
        <v>1971</v>
      </c>
      <c r="B12" s="2">
        <v>243.26755843609675</v>
      </c>
      <c r="C12" s="2">
        <v>216.82902428816425</v>
      </c>
      <c r="D12" s="2">
        <v>232.65554654510001</v>
      </c>
      <c r="E12" s="2">
        <v>263.91975608399667</v>
      </c>
      <c r="F12" s="2">
        <v>111.07028898835159</v>
      </c>
      <c r="G12" s="2">
        <v>72.008704565326667</v>
      </c>
      <c r="H12" s="2">
        <v>33.367713258229024</v>
      </c>
      <c r="I12" s="2">
        <v>30.584695322035472</v>
      </c>
      <c r="J12" s="2">
        <v>55.670038141086664</v>
      </c>
      <c r="K12" s="2">
        <v>70.888943898106461</v>
      </c>
      <c r="L12" s="2">
        <v>102.53960625617998</v>
      </c>
      <c r="M12" s="2">
        <v>158.35225370044836</v>
      </c>
      <c r="N12" s="2">
        <v>132.59617745692682</v>
      </c>
    </row>
    <row r="13" spans="1:14" x14ac:dyDescent="0.2">
      <c r="A13" s="1">
        <v>1972</v>
      </c>
      <c r="B13" s="2">
        <v>79.529268741377422</v>
      </c>
      <c r="C13" s="2">
        <v>98.191536658824148</v>
      </c>
      <c r="D13" s="2">
        <v>87.441759569532266</v>
      </c>
      <c r="E13" s="2">
        <v>150.46268018021999</v>
      </c>
      <c r="F13" s="2">
        <v>151.80328637834197</v>
      </c>
      <c r="G13" s="2">
        <v>64.326442327620001</v>
      </c>
      <c r="H13" s="2">
        <v>175.45737491050321</v>
      </c>
      <c r="I13" s="2">
        <v>291.58976355737417</v>
      </c>
      <c r="J13" s="2">
        <v>177.90625954197</v>
      </c>
      <c r="K13" s="2">
        <v>224.11763409098393</v>
      </c>
      <c r="L13" s="2">
        <v>201.23412982313002</v>
      </c>
      <c r="M13" s="2">
        <v>188.61098765179034</v>
      </c>
      <c r="N13" s="2">
        <v>157.55592695263894</v>
      </c>
    </row>
    <row r="14" spans="1:14" x14ac:dyDescent="0.2">
      <c r="A14" s="1">
        <v>1973</v>
      </c>
      <c r="B14" s="2">
        <v>75.411265789164517</v>
      </c>
      <c r="C14" s="2">
        <v>183.45739112693798</v>
      </c>
      <c r="D14" s="2">
        <v>233.88135238949678</v>
      </c>
      <c r="E14" s="2">
        <v>388.95557392157997</v>
      </c>
      <c r="F14" s="2">
        <v>168.91168471405157</v>
      </c>
      <c r="G14" s="2">
        <v>85.583877839753356</v>
      </c>
      <c r="H14" s="2">
        <v>55.057817552138715</v>
      </c>
      <c r="I14" s="2">
        <v>42.938519171074205</v>
      </c>
      <c r="J14" s="2">
        <v>62.29865611810667</v>
      </c>
      <c r="K14" s="2">
        <v>57.292529254861293</v>
      </c>
      <c r="L14" s="2">
        <v>74.186152049260002</v>
      </c>
      <c r="M14" s="2">
        <v>188.19852458479355</v>
      </c>
      <c r="N14" s="2">
        <v>134.68111204260154</v>
      </c>
    </row>
    <row r="15" spans="1:14" x14ac:dyDescent="0.2">
      <c r="A15" s="1">
        <v>1974</v>
      </c>
      <c r="B15" s="2">
        <v>212.73063612800325</v>
      </c>
      <c r="C15" s="2">
        <v>219.26497417153215</v>
      </c>
      <c r="D15" s="2">
        <v>137.79579272859681</v>
      </c>
      <c r="E15" s="2">
        <v>160.31358630414667</v>
      </c>
      <c r="F15" s="2">
        <v>246.63736976582584</v>
      </c>
      <c r="G15" s="2">
        <v>206.7312255322</v>
      </c>
      <c r="H15" s="2">
        <v>140.42852111661293</v>
      </c>
      <c r="I15" s="2">
        <v>59.809352164793566</v>
      </c>
      <c r="J15" s="2">
        <v>64.029347528906655</v>
      </c>
      <c r="K15" s="2">
        <v>287.50271369259997</v>
      </c>
      <c r="L15" s="2">
        <v>236.32413976058672</v>
      </c>
      <c r="M15" s="2">
        <v>208.19399552172581</v>
      </c>
      <c r="N15" s="2">
        <v>181.64680453462753</v>
      </c>
    </row>
    <row r="16" spans="1:14" x14ac:dyDescent="0.2">
      <c r="A16" s="1">
        <v>1975</v>
      </c>
      <c r="B16" s="2">
        <v>134.91299966211614</v>
      </c>
      <c r="C16" s="2">
        <v>104.85459065416785</v>
      </c>
      <c r="D16" s="2">
        <v>186.8146505912064</v>
      </c>
      <c r="E16" s="2">
        <v>240.17619438000671</v>
      </c>
      <c r="F16" s="2">
        <v>194.65668054733229</v>
      </c>
      <c r="G16" s="2">
        <v>155.27366391225331</v>
      </c>
      <c r="H16" s="2">
        <v>127.12777029381934</v>
      </c>
      <c r="I16" s="2">
        <v>94.184540494970975</v>
      </c>
      <c r="J16" s="2">
        <v>72.840200704526694</v>
      </c>
      <c r="K16" s="2">
        <v>98.098362647170973</v>
      </c>
      <c r="L16" s="2">
        <v>130.11233901369999</v>
      </c>
      <c r="M16" s="2">
        <v>123.15961795875806</v>
      </c>
      <c r="N16" s="2">
        <v>138.51763423833572</v>
      </c>
    </row>
    <row r="17" spans="1:14" x14ac:dyDescent="0.2">
      <c r="A17" s="1">
        <v>1976</v>
      </c>
      <c r="B17" s="2">
        <v>104.10687390189356</v>
      </c>
      <c r="C17" s="2">
        <v>145.82721281035174</v>
      </c>
      <c r="D17" s="2">
        <v>175.41722343788712</v>
      </c>
      <c r="E17" s="2">
        <v>259.96828910777998</v>
      </c>
      <c r="F17" s="2">
        <v>207.73087894670968</v>
      </c>
      <c r="G17" s="2">
        <v>230.28786660245348</v>
      </c>
      <c r="H17" s="2">
        <v>116.48456041366128</v>
      </c>
      <c r="I17" s="2">
        <v>129.85579561874516</v>
      </c>
      <c r="J17" s="2">
        <v>143.57830636643337</v>
      </c>
      <c r="K17" s="2">
        <v>101.41812985498061</v>
      </c>
      <c r="L17" s="2">
        <v>148.16178375404667</v>
      </c>
      <c r="M17" s="2">
        <v>383.53671070309667</v>
      </c>
      <c r="N17" s="2">
        <v>178.86446929316992</v>
      </c>
    </row>
    <row r="18" spans="1:14" x14ac:dyDescent="0.2">
      <c r="A18" s="1">
        <v>1977</v>
      </c>
      <c r="B18" s="2">
        <v>217.67224058113868</v>
      </c>
      <c r="C18" s="2">
        <v>293.71927912948576</v>
      </c>
      <c r="D18" s="2">
        <v>184.28919135734512</v>
      </c>
      <c r="E18" s="2">
        <v>256.97800269414665</v>
      </c>
      <c r="F18" s="2">
        <v>119.08750498691612</v>
      </c>
      <c r="G18" s="2">
        <v>72.790106408093322</v>
      </c>
      <c r="H18" s="2">
        <v>83.800631499235465</v>
      </c>
      <c r="I18" s="2">
        <v>70.244202424532247</v>
      </c>
      <c r="J18" s="2">
        <v>115.69719114797002</v>
      </c>
      <c r="K18" s="2">
        <v>152.79289620362903</v>
      </c>
      <c r="L18" s="2">
        <v>174.68918959627337</v>
      </c>
      <c r="M18" s="2">
        <v>298.12763325673222</v>
      </c>
      <c r="N18" s="2">
        <v>169.99067244045816</v>
      </c>
    </row>
    <row r="19" spans="1:14" x14ac:dyDescent="0.2">
      <c r="A19" s="1">
        <v>1978</v>
      </c>
      <c r="B19" s="2">
        <v>249.74052590742579</v>
      </c>
      <c r="C19" s="2">
        <v>367.59285829949289</v>
      </c>
      <c r="D19" s="2">
        <v>339.46346612026133</v>
      </c>
      <c r="E19" s="2">
        <v>279.73954775060332</v>
      </c>
      <c r="F19" s="2">
        <v>480.29059726320327</v>
      </c>
      <c r="G19" s="2">
        <v>365.4002117772767</v>
      </c>
      <c r="H19" s="2">
        <v>163.69875538406123</v>
      </c>
      <c r="I19" s="2">
        <v>61.431754933225832</v>
      </c>
      <c r="J19" s="2">
        <v>161.94398132056</v>
      </c>
      <c r="K19" s="2">
        <v>99.181259615293527</v>
      </c>
      <c r="L19" s="2">
        <v>57.172111273326678</v>
      </c>
      <c r="M19" s="2">
        <v>225.8670916016967</v>
      </c>
      <c r="N19" s="2">
        <v>237.62684677053562</v>
      </c>
    </row>
    <row r="20" spans="1:14" x14ac:dyDescent="0.2">
      <c r="A20" s="1">
        <v>1979</v>
      </c>
      <c r="B20" s="2">
        <v>302.11143639920641</v>
      </c>
      <c r="C20" s="2">
        <v>329.01343896426425</v>
      </c>
      <c r="D20" s="2">
        <v>141.64131094456127</v>
      </c>
      <c r="E20" s="2">
        <v>215.33613830915337</v>
      </c>
      <c r="F20" s="2">
        <v>173.84762617972581</v>
      </c>
      <c r="G20" s="2">
        <v>82.803734245306686</v>
      </c>
      <c r="H20" s="2">
        <v>107.11245759510003</v>
      </c>
      <c r="I20" s="2">
        <v>53.274720067503218</v>
      </c>
      <c r="J20" s="2">
        <v>52.132840941833315</v>
      </c>
      <c r="K20" s="2">
        <v>93.805000256477399</v>
      </c>
      <c r="L20" s="2">
        <v>300.26830027681319</v>
      </c>
      <c r="M20" s="2">
        <v>181.10160165277097</v>
      </c>
      <c r="N20" s="2">
        <v>169.37071715272634</v>
      </c>
    </row>
    <row r="21" spans="1:14" x14ac:dyDescent="0.2">
      <c r="A21" s="1">
        <v>1980</v>
      </c>
      <c r="B21" s="2">
        <v>237.94644706522905</v>
      </c>
      <c r="C21" s="2">
        <v>348.22463702609321</v>
      </c>
      <c r="D21" s="2">
        <v>207.20638305495802</v>
      </c>
      <c r="E21" s="2">
        <v>302.93256446657995</v>
      </c>
      <c r="F21" s="2">
        <v>426.09358745929347</v>
      </c>
      <c r="G21" s="2">
        <v>203.58421025695668</v>
      </c>
      <c r="H21" s="2">
        <v>88.98743991160643</v>
      </c>
      <c r="I21" s="2">
        <v>48.988503549322544</v>
      </c>
      <c r="J21" s="2">
        <v>43.982845122946635</v>
      </c>
      <c r="K21" s="2">
        <v>65.511885862632241</v>
      </c>
      <c r="L21" s="2">
        <v>215.31487411105996</v>
      </c>
      <c r="M21" s="2">
        <v>246.93341271230318</v>
      </c>
      <c r="N21" s="2">
        <v>202.97556588324846</v>
      </c>
    </row>
    <row r="22" spans="1:14" x14ac:dyDescent="0.2">
      <c r="A22" s="1">
        <v>1981</v>
      </c>
      <c r="B22" s="2">
        <v>173.44997341802258</v>
      </c>
      <c r="C22" s="2">
        <v>190.69713524553572</v>
      </c>
      <c r="D22" s="2">
        <v>582.74070476696772</v>
      </c>
      <c r="E22" s="2">
        <v>245.38206148080334</v>
      </c>
      <c r="F22" s="2">
        <v>221.56666998951937</v>
      </c>
      <c r="G22" s="2">
        <v>185.58570950775666</v>
      </c>
      <c r="H22" s="2">
        <v>73.229409560612908</v>
      </c>
      <c r="I22" s="2">
        <v>67.9613553571903</v>
      </c>
      <c r="J22" s="2">
        <v>68.67072396015331</v>
      </c>
      <c r="K22" s="2">
        <v>101.9009510952032</v>
      </c>
      <c r="L22" s="2">
        <v>134.22127840482</v>
      </c>
      <c r="M22" s="2">
        <v>410.07854425875155</v>
      </c>
      <c r="N22" s="2">
        <v>204.62370975377803</v>
      </c>
    </row>
    <row r="23" spans="1:14" x14ac:dyDescent="0.2">
      <c r="A23" s="1">
        <v>1982</v>
      </c>
      <c r="B23" s="2">
        <v>188.14571694798062</v>
      </c>
      <c r="C23" s="2">
        <v>76.630187407549997</v>
      </c>
      <c r="D23" s="2">
        <v>218.41396097216779</v>
      </c>
      <c r="E23" s="2">
        <v>308.12894121619667</v>
      </c>
      <c r="F23" s="2">
        <v>179.79860918833222</v>
      </c>
      <c r="G23" s="2">
        <v>116.05790499790663</v>
      </c>
      <c r="H23" s="2">
        <v>60.162541316512893</v>
      </c>
      <c r="I23" s="2">
        <v>59.140548906680607</v>
      </c>
      <c r="J23" s="2">
        <v>30.938679727469982</v>
      </c>
      <c r="K23" s="2">
        <v>73.97340505372901</v>
      </c>
      <c r="L23" s="2">
        <v>52.871629018866642</v>
      </c>
      <c r="M23" s="2">
        <v>122.57313755701934</v>
      </c>
      <c r="N23" s="2">
        <v>123.9029385258677</v>
      </c>
    </row>
    <row r="24" spans="1:14" x14ac:dyDescent="0.2">
      <c r="A24" s="1">
        <v>1983</v>
      </c>
      <c r="B24" s="2">
        <v>138.20279018503868</v>
      </c>
      <c r="C24" s="2">
        <v>301.3207833382142</v>
      </c>
      <c r="D24" s="2">
        <v>184.00577411695483</v>
      </c>
      <c r="E24" s="2">
        <v>210.16218825353661</v>
      </c>
      <c r="F24" s="2">
        <v>87.994151132541901</v>
      </c>
      <c r="G24" s="2">
        <v>119.79609471215663</v>
      </c>
      <c r="H24" s="2">
        <v>85.727667317548352</v>
      </c>
      <c r="I24" s="2">
        <v>49.304838492622551</v>
      </c>
      <c r="J24" s="2">
        <v>81.83303487939331</v>
      </c>
      <c r="K24" s="2">
        <v>50.332331551074169</v>
      </c>
      <c r="L24" s="2">
        <v>62.345468387356654</v>
      </c>
      <c r="M24" s="2">
        <v>152.62967657038388</v>
      </c>
      <c r="N24" s="2">
        <v>126.97123324473517</v>
      </c>
    </row>
    <row r="25" spans="1:14" x14ac:dyDescent="0.2">
      <c r="A25" s="1">
        <v>1984</v>
      </c>
      <c r="B25" s="2">
        <v>181.36227068391932</v>
      </c>
      <c r="C25" s="2">
        <v>280.73764873646212</v>
      </c>
      <c r="D25" s="2">
        <v>361.93783717954506</v>
      </c>
      <c r="E25" s="2">
        <v>402.04005853081998</v>
      </c>
      <c r="F25" s="2">
        <v>250.38860109541289</v>
      </c>
      <c r="G25" s="2">
        <v>126.37707577828665</v>
      </c>
      <c r="H25" s="2">
        <v>85.876948910654804</v>
      </c>
      <c r="I25" s="2">
        <v>77.034245021064493</v>
      </c>
      <c r="J25" s="2">
        <v>74.292636386046667</v>
      </c>
      <c r="K25" s="2">
        <v>237.28636932626449</v>
      </c>
      <c r="L25" s="2">
        <v>86.324309184960001</v>
      </c>
      <c r="M25" s="2">
        <v>65.945865602270942</v>
      </c>
      <c r="N25" s="2">
        <v>185.80032220297562</v>
      </c>
    </row>
    <row r="26" spans="1:14" x14ac:dyDescent="0.2">
      <c r="A26" s="1">
        <v>1985</v>
      </c>
      <c r="B26" s="2">
        <v>153.69625585486452</v>
      </c>
      <c r="C26" s="2">
        <v>127.45399779787856</v>
      </c>
      <c r="D26" s="2">
        <v>250.93821532969352</v>
      </c>
      <c r="E26" s="2">
        <v>419.49665567268659</v>
      </c>
      <c r="F26" s="2">
        <v>204.94221184899675</v>
      </c>
      <c r="G26" s="2">
        <v>108.02369589467334</v>
      </c>
      <c r="H26" s="2">
        <v>60.895128610761276</v>
      </c>
      <c r="I26" s="2">
        <v>82.900524991922538</v>
      </c>
      <c r="J26" s="2">
        <v>58.813985671923319</v>
      </c>
      <c r="K26" s="2">
        <v>40.25211869109998</v>
      </c>
      <c r="L26" s="2">
        <v>128.22962974392331</v>
      </c>
      <c r="M26" s="2">
        <v>128.96090936005481</v>
      </c>
      <c r="N26" s="2">
        <v>147.05027745570655</v>
      </c>
    </row>
    <row r="27" spans="1:14" x14ac:dyDescent="0.2">
      <c r="A27" s="1">
        <v>1986</v>
      </c>
      <c r="B27" s="2">
        <v>209.13692506109675</v>
      </c>
      <c r="C27" s="2">
        <v>250.11676320359285</v>
      </c>
      <c r="D27" s="2">
        <v>315.83444537889034</v>
      </c>
      <c r="E27" s="2">
        <v>259.02291064224005</v>
      </c>
      <c r="F27" s="2">
        <v>170.52240180864834</v>
      </c>
      <c r="G27" s="2">
        <v>195.52133201379664</v>
      </c>
      <c r="H27" s="2">
        <v>289.31625106878056</v>
      </c>
      <c r="I27" s="2">
        <v>85.547354782383877</v>
      </c>
      <c r="J27" s="2">
        <v>45.75140747138331</v>
      </c>
      <c r="K27" s="2">
        <v>54.511182350877398</v>
      </c>
      <c r="L27" s="2">
        <v>77.453702768986631</v>
      </c>
      <c r="M27" s="2">
        <v>60.963016880029009</v>
      </c>
      <c r="N27" s="2">
        <v>167.80814111922547</v>
      </c>
    </row>
    <row r="28" spans="1:14" x14ac:dyDescent="0.2">
      <c r="A28" s="1">
        <v>1987</v>
      </c>
      <c r="B28" s="2">
        <v>184.92222385953551</v>
      </c>
      <c r="C28" s="2">
        <v>266.90246148250719</v>
      </c>
      <c r="D28" s="2">
        <v>176.943938915671</v>
      </c>
      <c r="E28" s="2">
        <v>369.04901747078674</v>
      </c>
      <c r="F28" s="2">
        <v>402.22960433765166</v>
      </c>
      <c r="G28" s="2">
        <v>130.14356202614999</v>
      </c>
      <c r="H28" s="2">
        <v>64.960180886367723</v>
      </c>
      <c r="I28" s="2">
        <v>48.469163434003178</v>
      </c>
      <c r="J28" s="2">
        <v>36.341156633876636</v>
      </c>
      <c r="K28" s="2">
        <v>34.294381775167714</v>
      </c>
      <c r="L28" s="2">
        <v>189.73414165033998</v>
      </c>
      <c r="M28" s="2">
        <v>173.55460020506129</v>
      </c>
      <c r="N28" s="2">
        <v>173.1287027230932</v>
      </c>
    </row>
    <row r="29" spans="1:14" x14ac:dyDescent="0.2">
      <c r="A29" s="1">
        <v>1988</v>
      </c>
      <c r="B29" s="2">
        <v>121.89099104544194</v>
      </c>
      <c r="C29" s="2">
        <v>155.22881069434828</v>
      </c>
      <c r="D29" s="2">
        <v>403.61528757952908</v>
      </c>
      <c r="E29" s="2">
        <v>263.38547221726668</v>
      </c>
      <c r="F29" s="2">
        <v>152.20806641570002</v>
      </c>
      <c r="G29" s="2">
        <v>96.751053301559992</v>
      </c>
      <c r="H29" s="2">
        <v>44.395705813225788</v>
      </c>
      <c r="I29" s="2">
        <v>29.431195785370949</v>
      </c>
      <c r="J29" s="2">
        <v>57.831935841476636</v>
      </c>
      <c r="K29" s="2">
        <v>44.966523642145127</v>
      </c>
      <c r="L29" s="2">
        <v>58.205877485863311</v>
      </c>
      <c r="M29" s="2">
        <v>123.63721940172577</v>
      </c>
      <c r="N29" s="2">
        <v>129.29567826863777</v>
      </c>
    </row>
    <row r="30" spans="1:14" x14ac:dyDescent="0.2">
      <c r="A30" s="1">
        <v>1989</v>
      </c>
      <c r="B30" s="2">
        <v>63.937498740293528</v>
      </c>
      <c r="C30" s="2">
        <v>81.426047253839258</v>
      </c>
      <c r="D30" s="2">
        <v>181.90617688772252</v>
      </c>
      <c r="E30" s="2">
        <v>86.842529829689994</v>
      </c>
      <c r="F30" s="2">
        <v>239.57016077576128</v>
      </c>
      <c r="G30" s="2">
        <v>195.90528566088662</v>
      </c>
      <c r="H30" s="2">
        <v>151.10331532266125</v>
      </c>
      <c r="I30" s="2">
        <v>173.23848943377413</v>
      </c>
      <c r="J30" s="2">
        <v>189.09724637961003</v>
      </c>
      <c r="K30" s="2">
        <v>288.87102246297081</v>
      </c>
      <c r="L30" s="2">
        <v>124.79511020259</v>
      </c>
      <c r="M30" s="2">
        <v>100.76421183206129</v>
      </c>
      <c r="N30" s="2">
        <v>156.4547578984884</v>
      </c>
    </row>
    <row r="31" spans="1:14" x14ac:dyDescent="0.2">
      <c r="A31" s="1">
        <v>1990</v>
      </c>
      <c r="B31" s="2">
        <v>70.280009727309633</v>
      </c>
      <c r="C31" s="2">
        <v>92.321474047096416</v>
      </c>
      <c r="D31" s="2">
        <v>88.867162882293542</v>
      </c>
      <c r="E31" s="2">
        <v>156.56670811304667</v>
      </c>
      <c r="F31" s="2">
        <v>82.476067352835457</v>
      </c>
      <c r="G31" s="2">
        <v>73.790923768096661</v>
      </c>
      <c r="H31" s="2">
        <v>37.137510496338685</v>
      </c>
      <c r="I31" s="2">
        <v>23.879478618587072</v>
      </c>
      <c r="J31" s="2">
        <v>25.56720843357331</v>
      </c>
      <c r="K31" s="2">
        <v>30.09281856185158</v>
      </c>
      <c r="L31" s="2">
        <v>85.809066498159979</v>
      </c>
      <c r="M31" s="2">
        <v>190.0941573523161</v>
      </c>
      <c r="N31" s="2">
        <v>79.740215487625434</v>
      </c>
    </row>
    <row r="32" spans="1:14" x14ac:dyDescent="0.2">
      <c r="A32" s="1">
        <v>1991</v>
      </c>
      <c r="B32" s="2">
        <v>160.59633788575167</v>
      </c>
      <c r="C32" s="2">
        <v>102.75625899692635</v>
      </c>
      <c r="D32" s="2">
        <v>149.77822890824359</v>
      </c>
      <c r="E32" s="2">
        <v>294.22160295926068</v>
      </c>
      <c r="F32" s="2">
        <v>407.43288287057084</v>
      </c>
      <c r="G32" s="2">
        <v>224.79923800853615</v>
      </c>
      <c r="H32" s="2">
        <v>318.75312941338228</v>
      </c>
      <c r="I32" s="2">
        <v>203.33873622324572</v>
      </c>
      <c r="J32" s="2">
        <v>68.766845845467387</v>
      </c>
      <c r="K32" s="2">
        <v>166.53634710025014</v>
      </c>
      <c r="L32" s="2">
        <v>418.59110226779086</v>
      </c>
      <c r="M32" s="2">
        <v>177.0316221244384</v>
      </c>
      <c r="N32" s="2">
        <v>231.2392299028717</v>
      </c>
    </row>
    <row r="33" spans="1:14" x14ac:dyDescent="0.2">
      <c r="A33" s="1">
        <v>1992</v>
      </c>
      <c r="B33" s="2">
        <v>169.62901496566192</v>
      </c>
      <c r="C33" s="2">
        <v>168.05119212206478</v>
      </c>
      <c r="D33" s="2">
        <v>227.9493752037433</v>
      </c>
      <c r="E33" s="2">
        <v>248.81019700214213</v>
      </c>
      <c r="F33" s="2">
        <v>109.00759833555468</v>
      </c>
      <c r="G33" s="2">
        <v>171.98866592368412</v>
      </c>
      <c r="H33" s="2">
        <v>103.88175215555262</v>
      </c>
      <c r="I33" s="2">
        <v>52.062574975033932</v>
      </c>
      <c r="J33" s="2">
        <v>47.948154858834599</v>
      </c>
      <c r="K33" s="2">
        <v>109.24214591006668</v>
      </c>
      <c r="L33" s="2">
        <v>216.98520287286669</v>
      </c>
      <c r="M33" s="2">
        <v>124.66114140062272</v>
      </c>
      <c r="N33" s="2">
        <v>145.52282165647912</v>
      </c>
    </row>
    <row r="34" spans="1:14" x14ac:dyDescent="0.2">
      <c r="A34" s="1">
        <v>1993</v>
      </c>
      <c r="B34" s="2">
        <v>74.891323848052338</v>
      </c>
      <c r="C34" s="2">
        <v>70.64246479472159</v>
      </c>
      <c r="D34" s="2">
        <v>214.13797786413701</v>
      </c>
      <c r="E34" s="2">
        <v>376.84750094292826</v>
      </c>
      <c r="F34" s="2">
        <v>109.25479253762995</v>
      </c>
      <c r="G34" s="2">
        <v>65.30275067832298</v>
      </c>
      <c r="H34" s="2">
        <v>72.075911110701654</v>
      </c>
      <c r="I34" s="2">
        <v>55.788120510591945</v>
      </c>
      <c r="J34" s="2">
        <v>81.226049270636182</v>
      </c>
      <c r="K34" s="2">
        <v>91.930627986234882</v>
      </c>
      <c r="L34" s="2">
        <v>124.97458308397557</v>
      </c>
      <c r="M34" s="2">
        <v>333.91415905843417</v>
      </c>
      <c r="N34" s="2">
        <v>139.88719568039164</v>
      </c>
    </row>
    <row r="35" spans="1:14" x14ac:dyDescent="0.2">
      <c r="A35" s="1">
        <v>1994</v>
      </c>
      <c r="B35" s="2">
        <v>259.62843444552988</v>
      </c>
      <c r="C35" s="2">
        <v>202.34728818874456</v>
      </c>
      <c r="D35" s="2">
        <v>181.94837019567618</v>
      </c>
      <c r="E35" s="2">
        <v>214.66031694062582</v>
      </c>
      <c r="F35" s="2">
        <v>110.29401714227286</v>
      </c>
      <c r="G35" s="2">
        <v>92.047904539752196</v>
      </c>
      <c r="H35" s="2">
        <v>62.085190758723201</v>
      </c>
      <c r="I35" s="2">
        <v>52.519780441730589</v>
      </c>
      <c r="J35" s="2">
        <v>56.989022970986845</v>
      </c>
      <c r="K35" s="2">
        <v>62.40454287352496</v>
      </c>
      <c r="L35" s="2">
        <v>79.160261216231092</v>
      </c>
      <c r="M35" s="2">
        <v>50.250666344764113</v>
      </c>
      <c r="N35" s="2">
        <v>117.72870596366229</v>
      </c>
    </row>
    <row r="36" spans="1:14" x14ac:dyDescent="0.2">
      <c r="A36" s="1">
        <v>1995</v>
      </c>
      <c r="B36" s="2">
        <v>366</v>
      </c>
      <c r="C36" s="2">
        <v>384</v>
      </c>
      <c r="D36" s="2">
        <v>340</v>
      </c>
      <c r="E36" s="2">
        <v>506</v>
      </c>
      <c r="F36" s="2">
        <v>252</v>
      </c>
      <c r="G36" s="2">
        <v>319</v>
      </c>
      <c r="H36" s="2">
        <v>205</v>
      </c>
      <c r="I36" s="2">
        <v>243</v>
      </c>
      <c r="J36" s="2">
        <v>304</v>
      </c>
      <c r="K36" s="2">
        <v>169</v>
      </c>
      <c r="L36" s="2">
        <v>288</v>
      </c>
      <c r="M36" s="2">
        <v>414</v>
      </c>
      <c r="N36" s="2">
        <v>315.83333333333331</v>
      </c>
    </row>
    <row r="37" spans="1:14" x14ac:dyDescent="0.2">
      <c r="A37" s="1">
        <v>1996</v>
      </c>
      <c r="B37" s="2">
        <v>435</v>
      </c>
      <c r="C37" s="2">
        <v>276</v>
      </c>
      <c r="D37" s="2">
        <v>213</v>
      </c>
      <c r="E37" s="2">
        <v>371</v>
      </c>
      <c r="F37" s="2">
        <v>183</v>
      </c>
      <c r="G37" s="2">
        <v>88</v>
      </c>
      <c r="H37" s="2">
        <v>41.3</v>
      </c>
      <c r="I37" s="2">
        <v>37.299999999999997</v>
      </c>
      <c r="J37" s="2">
        <v>215</v>
      </c>
      <c r="K37" s="2">
        <v>193</v>
      </c>
      <c r="L37" s="2">
        <v>243</v>
      </c>
      <c r="M37" s="2">
        <v>335</v>
      </c>
      <c r="N37" s="2">
        <v>219.21666666666667</v>
      </c>
    </row>
    <row r="38" spans="1:14" x14ac:dyDescent="0.2">
      <c r="A38" s="1">
        <v>1997</v>
      </c>
      <c r="B38" s="2">
        <v>307</v>
      </c>
      <c r="C38" s="2">
        <v>207</v>
      </c>
      <c r="D38" s="2">
        <v>163</v>
      </c>
      <c r="E38" s="2">
        <v>269</v>
      </c>
      <c r="F38" s="2">
        <v>211</v>
      </c>
      <c r="G38" s="2">
        <v>97.8</v>
      </c>
      <c r="H38" s="2">
        <v>101</v>
      </c>
      <c r="I38" s="2">
        <v>97.8</v>
      </c>
      <c r="J38" s="2">
        <v>42.3</v>
      </c>
      <c r="K38" s="2">
        <v>114</v>
      </c>
      <c r="L38" s="2">
        <v>174</v>
      </c>
      <c r="M38" s="2">
        <v>225</v>
      </c>
      <c r="N38" s="2">
        <v>167.40833333333333</v>
      </c>
    </row>
    <row r="39" spans="1:14" x14ac:dyDescent="0.2">
      <c r="A39" s="1">
        <v>1998</v>
      </c>
      <c r="B39" s="2">
        <v>223</v>
      </c>
      <c r="C39" s="2">
        <v>179</v>
      </c>
      <c r="D39" s="2">
        <v>125</v>
      </c>
      <c r="E39" s="2">
        <v>172</v>
      </c>
      <c r="F39" s="2">
        <v>122</v>
      </c>
      <c r="G39" s="2">
        <v>114</v>
      </c>
      <c r="H39" s="2">
        <v>55.3</v>
      </c>
      <c r="I39" s="2">
        <v>35.4</v>
      </c>
      <c r="J39" s="2">
        <v>105</v>
      </c>
      <c r="K39" s="2">
        <v>193</v>
      </c>
      <c r="L39" s="2">
        <v>243</v>
      </c>
      <c r="M39" s="2">
        <v>219</v>
      </c>
      <c r="N39" s="2">
        <v>148.80833333333334</v>
      </c>
    </row>
    <row r="40" spans="1:14" x14ac:dyDescent="0.2">
      <c r="A40" s="1">
        <v>1999</v>
      </c>
      <c r="B40" s="2">
        <v>191.51612903225808</v>
      </c>
      <c r="C40" s="2">
        <v>258.39285714285717</v>
      </c>
      <c r="D40" s="2">
        <v>368.41935483870969</v>
      </c>
      <c r="E40" s="2">
        <v>320</v>
      </c>
      <c r="F40" s="2">
        <v>183.7741935483871</v>
      </c>
      <c r="G40" s="2">
        <v>123.97333333333333</v>
      </c>
      <c r="H40" s="2">
        <v>126.89677419354841</v>
      </c>
      <c r="I40" s="2">
        <v>64.267741935483897</v>
      </c>
      <c r="J40" s="2">
        <v>79.773333333333341</v>
      </c>
      <c r="K40" s="2">
        <v>55.561290322580646</v>
      </c>
      <c r="L40" s="2">
        <v>237.45666666666665</v>
      </c>
      <c r="M40" s="2">
        <v>467.35483870967744</v>
      </c>
      <c r="N40" s="2">
        <v>206.44887608806962</v>
      </c>
    </row>
    <row r="41" spans="1:14" x14ac:dyDescent="0.2">
      <c r="A41" s="1">
        <v>2000</v>
      </c>
      <c r="B41" s="2">
        <v>172</v>
      </c>
      <c r="C41" s="2">
        <v>307</v>
      </c>
      <c r="D41" s="2">
        <v>319</v>
      </c>
      <c r="E41" s="2">
        <v>288</v>
      </c>
      <c r="F41" s="2">
        <v>120</v>
      </c>
      <c r="G41" s="2">
        <v>58.7</v>
      </c>
      <c r="H41" s="2">
        <v>37.4</v>
      </c>
      <c r="I41" s="2">
        <v>27</v>
      </c>
      <c r="J41" s="2">
        <v>30</v>
      </c>
      <c r="K41" s="2">
        <v>37.4</v>
      </c>
      <c r="L41" s="2">
        <v>68.3</v>
      </c>
      <c r="M41" s="2">
        <v>97.8</v>
      </c>
      <c r="N41" s="2">
        <v>130.21666666666667</v>
      </c>
    </row>
    <row r="42" spans="1:14" x14ac:dyDescent="0.2">
      <c r="A42" s="1">
        <v>2001</v>
      </c>
      <c r="B42" s="2">
        <v>199</v>
      </c>
      <c r="C42" s="2">
        <v>178</v>
      </c>
      <c r="D42" s="2">
        <v>256</v>
      </c>
      <c r="E42" s="2">
        <v>327</v>
      </c>
      <c r="F42" s="2">
        <v>178</v>
      </c>
      <c r="G42" s="2">
        <v>376</v>
      </c>
      <c r="H42" s="2">
        <v>149</v>
      </c>
      <c r="I42" s="2">
        <v>56.4</v>
      </c>
      <c r="J42" s="2">
        <v>340</v>
      </c>
      <c r="K42" s="2">
        <v>94.6</v>
      </c>
      <c r="L42" s="2">
        <v>178</v>
      </c>
      <c r="M42" s="2">
        <v>147</v>
      </c>
      <c r="N42" s="2">
        <v>206.58333333333334</v>
      </c>
    </row>
    <row r="43" spans="1:14" x14ac:dyDescent="0.2">
      <c r="A43" s="1">
        <v>2002</v>
      </c>
      <c r="B43" s="2">
        <v>154</v>
      </c>
      <c r="C43" s="2">
        <v>254</v>
      </c>
      <c r="D43" s="2">
        <v>161</v>
      </c>
      <c r="E43" s="2">
        <v>332</v>
      </c>
      <c r="F43" s="2">
        <v>205</v>
      </c>
      <c r="G43" s="2">
        <v>116</v>
      </c>
      <c r="H43" s="2">
        <v>58.7</v>
      </c>
      <c r="I43" s="2">
        <v>82.6</v>
      </c>
      <c r="J43" s="2">
        <v>90.8</v>
      </c>
      <c r="K43" s="2">
        <v>265</v>
      </c>
      <c r="L43" s="2">
        <v>161</v>
      </c>
      <c r="M43" s="2">
        <v>156</v>
      </c>
      <c r="N43" s="2">
        <v>169.67499999999998</v>
      </c>
    </row>
    <row r="44" spans="1:14" x14ac:dyDescent="0.2">
      <c r="A44" s="1">
        <v>2003</v>
      </c>
      <c r="B44" s="2">
        <v>219</v>
      </c>
      <c r="C44" s="2">
        <v>154</v>
      </c>
      <c r="D44" s="2">
        <v>160</v>
      </c>
      <c r="E44" s="2">
        <v>152</v>
      </c>
      <c r="F44" s="2">
        <v>102</v>
      </c>
      <c r="G44" s="2">
        <v>72</v>
      </c>
      <c r="H44" s="2">
        <v>58.7</v>
      </c>
      <c r="I44" s="2">
        <v>25.8</v>
      </c>
      <c r="J44" s="2">
        <v>26.4</v>
      </c>
      <c r="K44" s="2">
        <v>104</v>
      </c>
      <c r="L44" s="2">
        <v>124</v>
      </c>
      <c r="M44" s="2">
        <v>79.900000000000006</v>
      </c>
      <c r="N44" s="2">
        <v>106.48333333333335</v>
      </c>
    </row>
    <row r="45" spans="1:14" x14ac:dyDescent="0.2">
      <c r="A45" s="1">
        <v>2004</v>
      </c>
      <c r="B45" s="2">
        <v>183</v>
      </c>
      <c r="C45" s="2">
        <v>254</v>
      </c>
      <c r="D45" s="2">
        <v>340</v>
      </c>
      <c r="E45" s="2">
        <v>435</v>
      </c>
      <c r="F45" s="2">
        <v>215</v>
      </c>
      <c r="G45" s="2">
        <v>172</v>
      </c>
      <c r="H45" s="2">
        <v>116</v>
      </c>
      <c r="I45" s="2">
        <v>82.6</v>
      </c>
      <c r="J45" s="2">
        <v>42.3</v>
      </c>
      <c r="K45" s="2">
        <v>63.5</v>
      </c>
      <c r="L45" s="2">
        <v>149</v>
      </c>
      <c r="M45" s="2">
        <v>223</v>
      </c>
      <c r="N45" s="2">
        <v>189.61666666666665</v>
      </c>
    </row>
    <row r="46" spans="1:14" x14ac:dyDescent="0.2">
      <c r="A46" s="1">
        <v>2005</v>
      </c>
      <c r="B46" s="2">
        <v>119</v>
      </c>
      <c r="C46" s="2">
        <v>140</v>
      </c>
      <c r="D46" s="2">
        <v>458</v>
      </c>
      <c r="E46" s="2">
        <v>371</v>
      </c>
      <c r="F46" s="2">
        <v>254</v>
      </c>
      <c r="G46" s="2">
        <v>197</v>
      </c>
      <c r="H46" s="2">
        <v>243</v>
      </c>
      <c r="I46" s="2">
        <v>172</v>
      </c>
      <c r="J46" s="2">
        <v>91</v>
      </c>
      <c r="K46" s="2">
        <v>88</v>
      </c>
      <c r="L46" s="2">
        <v>72</v>
      </c>
      <c r="M46" s="2">
        <v>274</v>
      </c>
      <c r="N46" s="2">
        <v>206.58333333333334</v>
      </c>
    </row>
    <row r="47" spans="1:14" x14ac:dyDescent="0.2">
      <c r="A47" s="1">
        <v>2006</v>
      </c>
      <c r="B47" s="2">
        <v>209</v>
      </c>
      <c r="C47" s="2">
        <v>154</v>
      </c>
      <c r="D47" s="2">
        <v>440</v>
      </c>
      <c r="E47" s="2">
        <v>322</v>
      </c>
      <c r="F47" s="2">
        <v>183</v>
      </c>
      <c r="G47" s="2">
        <v>176</v>
      </c>
      <c r="H47" s="2">
        <v>83.9</v>
      </c>
      <c r="I47" s="2">
        <v>89.4</v>
      </c>
      <c r="J47" s="2">
        <v>82.6</v>
      </c>
      <c r="K47" s="2">
        <v>68.3</v>
      </c>
      <c r="L47" s="2">
        <v>67.099999999999994</v>
      </c>
      <c r="M47" s="2">
        <v>55.3</v>
      </c>
      <c r="N47" s="2">
        <v>160.88333333333333</v>
      </c>
    </row>
    <row r="48" spans="1:14" x14ac:dyDescent="0.2">
      <c r="A48" s="1">
        <v>2007</v>
      </c>
      <c r="B48" s="2">
        <v>163</v>
      </c>
      <c r="C48" s="2">
        <v>151</v>
      </c>
      <c r="D48" s="2">
        <v>217</v>
      </c>
      <c r="E48" s="2">
        <v>133</v>
      </c>
      <c r="F48" s="2">
        <v>76</v>
      </c>
      <c r="G48" s="2">
        <v>82.6</v>
      </c>
      <c r="H48" s="2">
        <v>28.2</v>
      </c>
      <c r="I48" s="2">
        <v>26.4</v>
      </c>
      <c r="J48" s="2">
        <v>38.200000000000003</v>
      </c>
      <c r="K48" s="2">
        <v>81.2</v>
      </c>
      <c r="L48" s="2">
        <v>292</v>
      </c>
      <c r="M48" s="2">
        <v>156</v>
      </c>
      <c r="N48" s="2">
        <v>120.38333333333334</v>
      </c>
    </row>
    <row r="49" spans="1:14" x14ac:dyDescent="0.2">
      <c r="A49" s="1">
        <v>2008</v>
      </c>
      <c r="B49" s="2">
        <v>172.43548387096774</v>
      </c>
      <c r="C49" s="2">
        <v>89.631034482758665</v>
      </c>
      <c r="D49" s="2">
        <v>270.19032258064516</v>
      </c>
      <c r="E49" s="2">
        <v>197.36666666666667</v>
      </c>
      <c r="F49" s="2">
        <v>105.30645161290322</v>
      </c>
      <c r="G49" s="2">
        <v>74.323333333333323</v>
      </c>
      <c r="H49" s="2">
        <v>68.109677419354838</v>
      </c>
      <c r="I49" s="2">
        <v>29.741935483870968</v>
      </c>
      <c r="J49" s="2">
        <v>41.93666666666666</v>
      </c>
      <c r="K49" s="2">
        <v>49.438709677419354</v>
      </c>
      <c r="L49" s="2">
        <v>53.99666666666667</v>
      </c>
      <c r="M49" s="2">
        <v>271.7354838709677</v>
      </c>
      <c r="N49" s="2">
        <v>118.68436936101841</v>
      </c>
    </row>
    <row r="50" spans="1:14" x14ac:dyDescent="0.2">
      <c r="A50" s="1">
        <v>2009</v>
      </c>
      <c r="B50" s="2">
        <v>167.67</v>
      </c>
      <c r="C50" s="2">
        <v>176.32142857142858</v>
      </c>
      <c r="D50" s="2">
        <v>323.51645161290321</v>
      </c>
      <c r="E50" s="2">
        <v>324.73333333333335</v>
      </c>
      <c r="F50" s="2">
        <v>82.383333333333354</v>
      </c>
      <c r="G50" s="2">
        <v>184.94666666666666</v>
      </c>
      <c r="H50" s="2">
        <v>110.61666666666665</v>
      </c>
      <c r="I50" s="2">
        <v>34.666666666666664</v>
      </c>
      <c r="J50" s="2">
        <v>24.4</v>
      </c>
      <c r="K50" s="2">
        <v>74.739999999999995</v>
      </c>
      <c r="L50" s="2">
        <v>94.843333333333334</v>
      </c>
      <c r="M50" s="2">
        <v>305.45666666666671</v>
      </c>
      <c r="N50" s="2">
        <v>158.69121223758322</v>
      </c>
    </row>
    <row r="51" spans="1:14" x14ac:dyDescent="0.2">
      <c r="A51" s="1">
        <v>2010</v>
      </c>
      <c r="B51" s="2">
        <v>281.7032258064516</v>
      </c>
      <c r="C51" s="2">
        <v>264.37142857142857</v>
      </c>
      <c r="D51" s="2">
        <v>265.03225806451616</v>
      </c>
      <c r="E51" s="2">
        <v>197.5</v>
      </c>
      <c r="F51" s="2">
        <v>252.99677419354836</v>
      </c>
      <c r="G51" s="2">
        <v>465.22</v>
      </c>
      <c r="H51" s="2">
        <v>120.93548387096777</v>
      </c>
      <c r="I51" s="2">
        <v>44.787096774193536</v>
      </c>
      <c r="J51" s="2">
        <v>66.313333333333333</v>
      </c>
      <c r="K51" s="2">
        <v>79.887096774193537</v>
      </c>
      <c r="L51" s="2">
        <v>159.26000000000002</v>
      </c>
      <c r="M51" s="2">
        <v>318.35483870967744</v>
      </c>
      <c r="N51" s="2">
        <v>209.69679467485923</v>
      </c>
    </row>
    <row r="52" spans="1:14" x14ac:dyDescent="0.2">
      <c r="A52" s="1">
        <v>2011</v>
      </c>
      <c r="B52" s="2">
        <v>101.09354838709675</v>
      </c>
      <c r="C52" s="2">
        <v>101.27499999999999</v>
      </c>
      <c r="D52" s="2">
        <v>140</v>
      </c>
      <c r="E52" s="2">
        <v>100.82666666666664</v>
      </c>
      <c r="F52" s="2">
        <v>141.19677419354841</v>
      </c>
      <c r="G52" s="2">
        <v>91.980000000000018</v>
      </c>
      <c r="H52" s="2">
        <v>35.570967741935476</v>
      </c>
      <c r="I52" s="2">
        <v>28.138709677419349</v>
      </c>
      <c r="J52" s="2">
        <v>20.827586206896552</v>
      </c>
      <c r="K52" s="2">
        <v>22.738709677419354</v>
      </c>
      <c r="L52" s="2">
        <v>20.039999999999996</v>
      </c>
      <c r="M52" s="2">
        <v>43.138709677419357</v>
      </c>
      <c r="N52" s="2">
        <v>70.56888935236681</v>
      </c>
    </row>
    <row r="53" spans="1:14" x14ac:dyDescent="0.2">
      <c r="A53" s="1">
        <v>2012</v>
      </c>
      <c r="B53" s="2">
        <v>49.612903225806448</v>
      </c>
      <c r="C53" s="2">
        <v>133.05862068965516</v>
      </c>
      <c r="D53" s="2">
        <v>257.67741935483872</v>
      </c>
      <c r="E53" s="2">
        <v>229.26666666666668</v>
      </c>
      <c r="F53" s="2">
        <v>269.53870967741938</v>
      </c>
      <c r="G53" s="2">
        <v>80.706666666666649</v>
      </c>
      <c r="H53" s="2">
        <v>27.322580645161299</v>
      </c>
      <c r="I53" s="2">
        <v>19.258064516129032</v>
      </c>
      <c r="J53" s="2">
        <v>22.29</v>
      </c>
      <c r="K53" s="2">
        <v>24.135483870967736</v>
      </c>
      <c r="L53" s="2">
        <v>26.723333333333326</v>
      </c>
      <c r="M53" s="2">
        <v>100.46129032258065</v>
      </c>
      <c r="N53" s="2">
        <v>103.3376449141021</v>
      </c>
    </row>
    <row r="54" spans="1:14" x14ac:dyDescent="0.2">
      <c r="A54" s="1">
        <v>2013</v>
      </c>
      <c r="B54" s="2">
        <v>206.29677419354837</v>
      </c>
      <c r="C54" s="2">
        <v>293.14285714285717</v>
      </c>
      <c r="D54" s="2">
        <v>311.29032258064518</v>
      </c>
      <c r="E54" s="2">
        <v>233.13333333333333</v>
      </c>
      <c r="F54" s="2">
        <v>151.45806451612904</v>
      </c>
      <c r="G54" s="2">
        <v>80.396666666666661</v>
      </c>
      <c r="H54" s="2">
        <v>39.200000000000003</v>
      </c>
      <c r="I54" s="2">
        <v>21.72258064516129</v>
      </c>
      <c r="J54" s="2">
        <v>24.66333333333333</v>
      </c>
      <c r="K54" s="2">
        <v>32.535483870967738</v>
      </c>
      <c r="L54" s="2">
        <v>66.863333333333344</v>
      </c>
      <c r="M54" s="2">
        <v>49.632258064516108</v>
      </c>
      <c r="N54" s="2">
        <v>125.86125064004098</v>
      </c>
    </row>
    <row r="55" spans="1:14" x14ac:dyDescent="0.2">
      <c r="A55" s="1">
        <v>2014</v>
      </c>
      <c r="B55" s="2">
        <v>59.429032258064517</v>
      </c>
      <c r="C55" s="2">
        <v>81.049999999999983</v>
      </c>
      <c r="D55" s="2">
        <v>111.1516129032258</v>
      </c>
      <c r="E55" s="2">
        <v>376.04666666666668</v>
      </c>
      <c r="F55" s="2">
        <v>612.58620689655174</v>
      </c>
      <c r="G55" s="2">
        <v>118.56</v>
      </c>
      <c r="H55" s="2">
        <v>80.980645161290326</v>
      </c>
      <c r="I55" s="2">
        <v>223.07096774193545</v>
      </c>
      <c r="J55" s="2">
        <v>285.51333333333332</v>
      </c>
      <c r="K55" s="2">
        <v>108.21612903225807</v>
      </c>
      <c r="L55" s="2">
        <v>63.516666666666666</v>
      </c>
      <c r="M55" s="2">
        <v>145.38387096774193</v>
      </c>
      <c r="N55" s="2">
        <v>188.7920943023112</v>
      </c>
    </row>
    <row r="56" spans="1:14" x14ac:dyDescent="0.2">
      <c r="A56" s="1">
        <v>2015</v>
      </c>
      <c r="B56" s="2">
        <v>226.8</v>
      </c>
      <c r="C56" s="2">
        <v>237.78571428571428</v>
      </c>
      <c r="D56" s="2">
        <v>333.67741935483872</v>
      </c>
      <c r="E56" s="2">
        <v>251</v>
      </c>
      <c r="F56" s="2">
        <v>114.71290322580646</v>
      </c>
      <c r="G56" s="2">
        <v>55.146666666666661</v>
      </c>
      <c r="H56" s="2">
        <v>25.009677419354841</v>
      </c>
      <c r="I56" s="2">
        <v>21.393548387096772</v>
      </c>
      <c r="J56" s="2">
        <v>21.31</v>
      </c>
      <c r="K56" s="2">
        <v>87.212903225806443</v>
      </c>
      <c r="L56" s="2">
        <v>50.573333333333338</v>
      </c>
      <c r="M56" s="2">
        <v>67.08064516129032</v>
      </c>
      <c r="N56" s="2">
        <v>124.30856758832566</v>
      </c>
    </row>
    <row r="57" spans="1:14" x14ac:dyDescent="0.2">
      <c r="A57" s="1">
        <v>2016</v>
      </c>
      <c r="B57" s="2">
        <v>115.09354838709679</v>
      </c>
      <c r="C57" s="2">
        <v>174.2551724137931</v>
      </c>
      <c r="D57" s="2">
        <v>319.70967741935482</v>
      </c>
      <c r="E57" s="2">
        <v>128.56</v>
      </c>
      <c r="F57" s="2">
        <v>187.21612903225807</v>
      </c>
      <c r="G57" s="2">
        <v>61.95000000000001</v>
      </c>
      <c r="H57" s="2">
        <v>67.070967741935476</v>
      </c>
      <c r="I57" s="2">
        <v>65.393548387096772</v>
      </c>
      <c r="J57" s="2">
        <v>33.299999999999997</v>
      </c>
      <c r="K57" s="2">
        <v>58.7</v>
      </c>
      <c r="L57" s="2">
        <v>135</v>
      </c>
      <c r="M57" s="2">
        <v>33.299999999999997</v>
      </c>
      <c r="N57" s="2">
        <v>114.96242028179459</v>
      </c>
    </row>
    <row r="58" spans="1:14" x14ac:dyDescent="0.2">
      <c r="A58" s="1">
        <v>2017</v>
      </c>
      <c r="B58" s="2">
        <v>33.969000000000001</v>
      </c>
      <c r="C58" s="2">
        <v>197.09800000000001</v>
      </c>
      <c r="D58" s="2">
        <v>240.977</v>
      </c>
      <c r="E58" s="2">
        <v>210.137</v>
      </c>
      <c r="F58" s="2">
        <v>190.93199999999999</v>
      </c>
      <c r="G58" s="2">
        <v>62.095999999999997</v>
      </c>
      <c r="H58" s="2">
        <v>31.195</v>
      </c>
      <c r="I58" s="2">
        <v>28.811</v>
      </c>
      <c r="J58" s="2">
        <v>22.353999999999999</v>
      </c>
      <c r="K58" s="2">
        <v>54.578000000000003</v>
      </c>
      <c r="L58" s="2">
        <v>63.298999999999999</v>
      </c>
      <c r="M58" s="2">
        <v>262.94600000000003</v>
      </c>
      <c r="N58" s="2">
        <f>AVERAGE(B58:M58)</f>
        <v>116.53266666666669</v>
      </c>
    </row>
    <row r="59" spans="1:14" x14ac:dyDescent="0.2">
      <c r="A59" s="1">
        <v>2018</v>
      </c>
      <c r="B59" s="2">
        <v>161.05600000000001</v>
      </c>
      <c r="C59" s="2">
        <v>204.155</v>
      </c>
      <c r="D59" s="2">
        <v>362.44299999999998</v>
      </c>
      <c r="E59" s="2">
        <v>230.37</v>
      </c>
      <c r="F59" s="2">
        <v>121.79</v>
      </c>
      <c r="G59" s="2">
        <v>132.94999999999999</v>
      </c>
      <c r="H59" s="2">
        <v>150.32300000000001</v>
      </c>
      <c r="I59" s="2">
        <v>60.337000000000003</v>
      </c>
      <c r="J59" s="2">
        <v>28.119</v>
      </c>
      <c r="K59" s="2">
        <v>24.113</v>
      </c>
      <c r="L59" s="2">
        <v>38.311999999999998</v>
      </c>
      <c r="M59" s="2">
        <v>97.831999999999994</v>
      </c>
      <c r="N59" s="2">
        <f t="shared" ref="N59:N66" si="0">AVERAGE(B59:M59)</f>
        <v>134.31666666666669</v>
      </c>
    </row>
    <row r="60" spans="1:14" x14ac:dyDescent="0.2">
      <c r="A60" s="1">
        <v>2019</v>
      </c>
      <c r="B60" s="2">
        <v>75.103999999999999</v>
      </c>
      <c r="C60" s="2">
        <v>282.20100000000002</v>
      </c>
      <c r="D60" s="2">
        <v>151.79</v>
      </c>
      <c r="E60" s="2">
        <v>143.02000000000001</v>
      </c>
      <c r="F60" s="2">
        <v>296.11</v>
      </c>
      <c r="G60" s="2">
        <v>191.33799999999999</v>
      </c>
      <c r="H60" s="2">
        <v>47.732999999999997</v>
      </c>
      <c r="I60" s="2">
        <v>36.731999999999999</v>
      </c>
      <c r="J60" s="2">
        <v>21.925000000000001</v>
      </c>
      <c r="K60" s="2">
        <v>19.661000000000001</v>
      </c>
      <c r="L60" s="2">
        <v>27.484999999999999</v>
      </c>
      <c r="M60" s="2">
        <v>59.186</v>
      </c>
      <c r="N60" s="2">
        <f t="shared" si="0"/>
        <v>112.69041666666665</v>
      </c>
    </row>
    <row r="61" spans="1:14" x14ac:dyDescent="0.2">
      <c r="A61" s="1">
        <v>2020</v>
      </c>
      <c r="B61" s="2">
        <v>34.265999999999998</v>
      </c>
      <c r="C61" s="2">
        <v>86.825999999999993</v>
      </c>
      <c r="D61" s="2">
        <v>134.49299999999999</v>
      </c>
      <c r="E61" s="2">
        <v>34.674999999999997</v>
      </c>
      <c r="F61" s="2">
        <v>56.600999999999999</v>
      </c>
      <c r="G61" s="2">
        <v>164.76599999999999</v>
      </c>
      <c r="H61" s="2">
        <v>55.503999999999998</v>
      </c>
      <c r="I61" s="2">
        <v>64.22</v>
      </c>
      <c r="J61" s="2">
        <v>25.498999999999999</v>
      </c>
      <c r="K61" s="2">
        <v>47.152999999999999</v>
      </c>
      <c r="L61" s="2">
        <v>30.187000000000001</v>
      </c>
      <c r="M61" s="2">
        <v>91.435000000000002</v>
      </c>
      <c r="N61" s="2">
        <f t="shared" si="0"/>
        <v>68.802083333333329</v>
      </c>
    </row>
    <row r="62" spans="1:14" x14ac:dyDescent="0.2">
      <c r="A62" s="1">
        <v>2021</v>
      </c>
      <c r="B62" s="4">
        <v>181.44200000000001</v>
      </c>
      <c r="C62" s="4">
        <v>186.215</v>
      </c>
      <c r="D62" s="4">
        <v>101.822</v>
      </c>
      <c r="E62" s="4">
        <v>116.45099999999999</v>
      </c>
      <c r="F62" s="4">
        <v>68.05</v>
      </c>
      <c r="G62" s="4">
        <v>34.207999999999998</v>
      </c>
      <c r="H62" s="4">
        <v>29.367999999999999</v>
      </c>
      <c r="I62" s="4">
        <v>18.699000000000002</v>
      </c>
      <c r="J62" s="4">
        <v>17.295000000000002</v>
      </c>
      <c r="K62" s="4">
        <v>43.637999999999998</v>
      </c>
      <c r="L62" s="4">
        <v>192.62</v>
      </c>
      <c r="M62" s="4">
        <v>309.69</v>
      </c>
      <c r="N62" s="2">
        <f t="shared" si="0"/>
        <v>108.2915</v>
      </c>
    </row>
    <row r="63" spans="1:14" x14ac:dyDescent="0.2">
      <c r="A63" s="1">
        <v>2022</v>
      </c>
      <c r="B63" s="2">
        <v>112.327</v>
      </c>
      <c r="C63" s="2">
        <v>92.59</v>
      </c>
      <c r="D63" s="2">
        <v>84.656000000000006</v>
      </c>
      <c r="E63" s="2">
        <v>121.304</v>
      </c>
      <c r="F63" s="2">
        <v>62.759</v>
      </c>
      <c r="G63" s="2">
        <v>57.965000000000003</v>
      </c>
      <c r="H63" s="2">
        <v>21.568999999999999</v>
      </c>
      <c r="I63" s="2">
        <v>23.576000000000001</v>
      </c>
      <c r="J63" s="2">
        <v>31.478999999999999</v>
      </c>
      <c r="K63" s="2">
        <v>23.853000000000002</v>
      </c>
      <c r="L63" s="2">
        <v>60.473999999999997</v>
      </c>
      <c r="M63" s="2">
        <v>130.37100000000001</v>
      </c>
      <c r="N63" s="2">
        <f t="shared" si="0"/>
        <v>68.576916666666662</v>
      </c>
    </row>
    <row r="64" spans="1:14" x14ac:dyDescent="0.2">
      <c r="A64" s="1">
        <v>2023</v>
      </c>
      <c r="B64" s="2">
        <v>199.244</v>
      </c>
      <c r="C64" s="2">
        <v>108.65600000000001</v>
      </c>
      <c r="D64" s="2">
        <v>256.15300000000002</v>
      </c>
      <c r="E64" s="2">
        <v>220.011</v>
      </c>
      <c r="F64" s="2">
        <v>233.702</v>
      </c>
      <c r="G64" s="2">
        <v>275.15699999999998</v>
      </c>
      <c r="H64" s="2">
        <v>58.460999999999999</v>
      </c>
      <c r="I64" s="2">
        <v>29.518000000000001</v>
      </c>
      <c r="J64" s="2">
        <v>26.126000000000001</v>
      </c>
      <c r="K64" s="2">
        <v>21.277999999999999</v>
      </c>
      <c r="L64" s="2">
        <v>111.764</v>
      </c>
      <c r="M64" s="2">
        <v>116.726</v>
      </c>
      <c r="N64" s="2">
        <f t="shared" si="0"/>
        <v>138.06633333333332</v>
      </c>
    </row>
    <row r="65" spans="1:14" x14ac:dyDescent="0.2">
      <c r="A65" s="1">
        <v>2024</v>
      </c>
      <c r="B65" s="2">
        <v>72.570999999999998</v>
      </c>
      <c r="C65" s="2">
        <v>69.188000000000002</v>
      </c>
      <c r="D65" s="2">
        <v>78.662000000000006</v>
      </c>
      <c r="E65" s="2">
        <v>46.298000000000002</v>
      </c>
      <c r="F65" s="2">
        <v>34.216000000000001</v>
      </c>
      <c r="G65" s="2">
        <v>25.724</v>
      </c>
      <c r="H65" s="2">
        <v>21.44</v>
      </c>
      <c r="I65" s="2">
        <v>17.143999999999998</v>
      </c>
      <c r="J65" s="2">
        <v>36.21</v>
      </c>
      <c r="K65" s="2">
        <v>56.655999999999999</v>
      </c>
      <c r="L65" s="2">
        <v>53.43</v>
      </c>
      <c r="M65" s="2">
        <v>107.74299999999999</v>
      </c>
      <c r="N65" s="2">
        <f t="shared" si="0"/>
        <v>51.606833333333334</v>
      </c>
    </row>
    <row r="66" spans="1:14" x14ac:dyDescent="0.2">
      <c r="A66" s="1">
        <v>2025</v>
      </c>
      <c r="B66" s="7">
        <v>201.43</v>
      </c>
      <c r="C66" s="7">
        <v>51.44</v>
      </c>
      <c r="D66" s="7">
        <v>313.13200000000001</v>
      </c>
      <c r="E66" s="7">
        <v>225.92699999999999</v>
      </c>
      <c r="F66" s="7">
        <v>84.863</v>
      </c>
      <c r="G66" s="7">
        <v>28.588000000000001</v>
      </c>
      <c r="H66" s="7">
        <v>23.556000000000001</v>
      </c>
      <c r="I66" s="7">
        <v>24.238</v>
      </c>
      <c r="J66" s="7">
        <v>21.466000000000001</v>
      </c>
      <c r="K66" s="7">
        <v>31.902000000000001</v>
      </c>
      <c r="L66" s="7">
        <v>99.76</v>
      </c>
      <c r="M66" s="7">
        <v>66.756</v>
      </c>
      <c r="N66" s="2">
        <f t="shared" si="0"/>
        <v>97.754833333333352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E844-37D8-974B-BB8A-B05F3D1F2402}">
  <dimension ref="A1:N66"/>
  <sheetViews>
    <sheetView topLeftCell="A15" zoomScale="74" workbookViewId="0">
      <selection activeCell="G31" sqref="G31"/>
    </sheetView>
  </sheetViews>
  <sheetFormatPr baseColWidth="10" defaultRowHeight="16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8</v>
      </c>
      <c r="K1" s="1" t="s">
        <v>14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1961</v>
      </c>
      <c r="B2" s="2">
        <v>260.05790818259999</v>
      </c>
      <c r="C2" s="2">
        <v>403.30390422959999</v>
      </c>
      <c r="D2" s="2">
        <v>179.24538338460002</v>
      </c>
      <c r="E2" s="2">
        <v>248.54701792179998</v>
      </c>
      <c r="F2" s="2">
        <v>1224.8191018201001</v>
      </c>
      <c r="G2" s="2">
        <v>262.96927248679998</v>
      </c>
      <c r="H2" s="2">
        <v>108.3736923254</v>
      </c>
      <c r="I2" s="2">
        <v>48.985831936799997</v>
      </c>
      <c r="J2" s="2">
        <v>29.807236643400003</v>
      </c>
      <c r="K2" s="2">
        <v>674.91399391689993</v>
      </c>
      <c r="L2" s="2">
        <v>485.00802434740001</v>
      </c>
      <c r="M2" s="2">
        <v>536.46019602330011</v>
      </c>
      <c r="N2" s="2">
        <v>1224.8191018201001</v>
      </c>
    </row>
    <row r="3" spans="1:14" x14ac:dyDescent="0.2">
      <c r="A3" s="1">
        <v>1962</v>
      </c>
      <c r="B3" s="2">
        <v>477.70641153179997</v>
      </c>
      <c r="C3" s="2">
        <v>726.67890208250014</v>
      </c>
      <c r="D3" s="2">
        <v>1743.6603062017002</v>
      </c>
      <c r="E3" s="2">
        <v>1993.5230393667998</v>
      </c>
      <c r="F3" s="2">
        <v>268.83190039139998</v>
      </c>
      <c r="G3" s="2">
        <v>157.62295066680002</v>
      </c>
      <c r="H3" s="2">
        <v>152.99237596220001</v>
      </c>
      <c r="I3" s="2">
        <v>63.928733340999997</v>
      </c>
      <c r="J3" s="2">
        <v>30.695638632199998</v>
      </c>
      <c r="K3" s="2">
        <v>37.504037381800003</v>
      </c>
      <c r="L3" s="2">
        <v>333.47144852819997</v>
      </c>
      <c r="M3" s="2">
        <v>760.54969173769996</v>
      </c>
      <c r="N3" s="2">
        <v>1993.5230393667998</v>
      </c>
    </row>
    <row r="4" spans="1:14" x14ac:dyDescent="0.2">
      <c r="A4" s="1">
        <v>1963</v>
      </c>
      <c r="B4" s="2">
        <v>649.32071276569991</v>
      </c>
      <c r="C4" s="2">
        <v>878.66479606970006</v>
      </c>
      <c r="D4" s="2">
        <v>874.56539522730009</v>
      </c>
      <c r="E4" s="2">
        <v>514.4141037201</v>
      </c>
      <c r="F4" s="2">
        <v>248.54701792179998</v>
      </c>
      <c r="G4" s="2">
        <v>336.68398264760003</v>
      </c>
      <c r="H4" s="2">
        <v>146.16778400179999</v>
      </c>
      <c r="I4" s="2">
        <v>81.207896719399997</v>
      </c>
      <c r="J4" s="2">
        <v>69.946462081799993</v>
      </c>
      <c r="K4" s="2">
        <v>58.219931803400002</v>
      </c>
      <c r="L4" s="2">
        <v>157.62295066680002</v>
      </c>
      <c r="M4" s="2">
        <v>356.20270235179999</v>
      </c>
      <c r="N4" s="2">
        <v>878.66479606970006</v>
      </c>
    </row>
    <row r="5" spans="1:14" x14ac:dyDescent="0.2">
      <c r="A5" s="1">
        <v>1964</v>
      </c>
      <c r="B5" s="2">
        <v>240.05702869240002</v>
      </c>
      <c r="C5" s="2">
        <v>914.61896644679985</v>
      </c>
      <c r="D5" s="2">
        <v>658.5583242468</v>
      </c>
      <c r="E5" s="2">
        <v>816.80548956359996</v>
      </c>
      <c r="F5" s="2">
        <v>310.52783156629999</v>
      </c>
      <c r="G5" s="2">
        <v>622.47053199879986</v>
      </c>
      <c r="H5" s="2">
        <v>459.01146138599995</v>
      </c>
      <c r="I5" s="2">
        <v>239.91241651669998</v>
      </c>
      <c r="J5" s="2">
        <v>197.20154796629998</v>
      </c>
      <c r="K5" s="2">
        <v>1316.5200878628</v>
      </c>
      <c r="L5" s="2">
        <v>1047.7252001507998</v>
      </c>
      <c r="M5" s="2">
        <v>1095.3110752787998</v>
      </c>
      <c r="N5" s="2">
        <v>1316.5200878628</v>
      </c>
    </row>
    <row r="6" spans="1:14" x14ac:dyDescent="0.2">
      <c r="A6" s="1">
        <v>1965</v>
      </c>
      <c r="B6" s="2">
        <v>572.50666005480002</v>
      </c>
      <c r="C6" s="2">
        <v>840.64573250279989</v>
      </c>
      <c r="D6" s="2">
        <v>1435.8643893347999</v>
      </c>
      <c r="E6" s="2">
        <v>466.13181883079994</v>
      </c>
      <c r="F6" s="2">
        <v>2852.3313262408997</v>
      </c>
      <c r="G6" s="2">
        <v>298.24440491669998</v>
      </c>
      <c r="H6" s="2">
        <v>107.66990340629999</v>
      </c>
      <c r="I6" s="2">
        <v>61.409556484699998</v>
      </c>
      <c r="J6" s="2">
        <v>151.44908278169999</v>
      </c>
      <c r="K6" s="2">
        <v>48.488362082699993</v>
      </c>
      <c r="L6" s="2">
        <v>316.74325358670001</v>
      </c>
      <c r="M6" s="2">
        <v>881.26076903880005</v>
      </c>
      <c r="N6" s="2">
        <v>2852.3313262408997</v>
      </c>
    </row>
    <row r="7" spans="1:14" x14ac:dyDescent="0.2">
      <c r="A7" s="1">
        <v>1966</v>
      </c>
      <c r="B7" s="2">
        <v>298.24440491669998</v>
      </c>
      <c r="C7" s="2">
        <v>820.75290700980008</v>
      </c>
      <c r="D7" s="2">
        <v>793.32837266279989</v>
      </c>
      <c r="E7" s="2">
        <v>983.92091973959998</v>
      </c>
      <c r="F7" s="2">
        <v>966.2519589108</v>
      </c>
      <c r="G7" s="2">
        <v>170.02998824330001</v>
      </c>
      <c r="H7" s="2">
        <v>245.50554814349999</v>
      </c>
      <c r="I7" s="2">
        <v>100.18749595669999</v>
      </c>
      <c r="J7" s="2">
        <v>96.552621756299999</v>
      </c>
      <c r="K7" s="2">
        <v>245.50554814349999</v>
      </c>
      <c r="L7" s="2">
        <v>394.95597446670001</v>
      </c>
      <c r="M7" s="2">
        <v>669.47179226579988</v>
      </c>
      <c r="N7" s="2">
        <v>983.92091973959998</v>
      </c>
    </row>
    <row r="8" spans="1:14" x14ac:dyDescent="0.2">
      <c r="A8" s="1">
        <v>1967</v>
      </c>
      <c r="B8" s="2">
        <v>323.00711321430003</v>
      </c>
      <c r="C8" s="2">
        <v>342.08405631630001</v>
      </c>
      <c r="D8" s="2">
        <v>824.71053802600011</v>
      </c>
      <c r="E8" s="2">
        <v>828.67850934779983</v>
      </c>
      <c r="F8" s="2">
        <v>437.59033540680002</v>
      </c>
      <c r="G8" s="2">
        <v>355.03456047630004</v>
      </c>
      <c r="H8" s="2">
        <v>988.37573375380009</v>
      </c>
      <c r="I8" s="2">
        <v>63.928733340999997</v>
      </c>
      <c r="J8" s="2">
        <v>66.899250834200004</v>
      </c>
      <c r="K8" s="2">
        <v>47.746327822599994</v>
      </c>
      <c r="L8" s="2">
        <v>150.70127537339999</v>
      </c>
      <c r="M8" s="2">
        <v>1170.1416014957997</v>
      </c>
      <c r="N8" s="2">
        <v>1170.1416014957997</v>
      </c>
    </row>
    <row r="9" spans="1:14" x14ac:dyDescent="0.2">
      <c r="A9" s="1">
        <v>1968</v>
      </c>
      <c r="B9" s="2">
        <v>636.85659270600001</v>
      </c>
      <c r="C9" s="2">
        <v>774.02174689379979</v>
      </c>
      <c r="D9" s="2">
        <v>329.31888430670006</v>
      </c>
      <c r="E9" s="2">
        <v>228.89251178069998</v>
      </c>
      <c r="F9" s="2">
        <v>187.1081739567</v>
      </c>
      <c r="G9" s="2">
        <v>415.49245701270002</v>
      </c>
      <c r="H9" s="2">
        <v>138.18865416630001</v>
      </c>
      <c r="I9" s="2">
        <v>590.29408880380004</v>
      </c>
      <c r="J9" s="2">
        <v>394.95597446670001</v>
      </c>
      <c r="K9" s="2">
        <v>415.49245701270002</v>
      </c>
      <c r="L9" s="2">
        <v>1714.2602471608998</v>
      </c>
      <c r="M9" s="2">
        <v>2049.8496815658996</v>
      </c>
      <c r="N9" s="2">
        <v>2049.8496815658996</v>
      </c>
    </row>
    <row r="10" spans="1:14" x14ac:dyDescent="0.2">
      <c r="A10" s="1">
        <v>1969</v>
      </c>
      <c r="B10" s="2">
        <v>398.3527777667</v>
      </c>
      <c r="C10" s="2">
        <v>1305.1198445907996</v>
      </c>
      <c r="D10" s="2">
        <v>480.34859020679994</v>
      </c>
      <c r="E10" s="2">
        <v>537.0451319668</v>
      </c>
      <c r="F10" s="2">
        <v>286.16104240470003</v>
      </c>
      <c r="G10" s="2">
        <v>717.34241320680007</v>
      </c>
      <c r="H10" s="2">
        <v>1100.1676601745996</v>
      </c>
      <c r="I10" s="2">
        <v>319.86916158349999</v>
      </c>
      <c r="J10" s="2">
        <v>234.3745623483</v>
      </c>
      <c r="K10" s="2">
        <v>79.462591694300002</v>
      </c>
      <c r="L10" s="2">
        <v>494.54019613000003</v>
      </c>
      <c r="M10" s="2">
        <v>369.67769593620005</v>
      </c>
      <c r="N10" s="2">
        <v>1305.1198445907996</v>
      </c>
    </row>
    <row r="11" spans="1:14" x14ac:dyDescent="0.2">
      <c r="A11" s="1">
        <v>1970</v>
      </c>
      <c r="B11" s="2">
        <v>1935.2482013741997</v>
      </c>
      <c r="C11" s="2">
        <v>919.23251992819996</v>
      </c>
      <c r="D11" s="2">
        <v>1140.8653447057998</v>
      </c>
      <c r="E11" s="2">
        <v>1353.8994923685998</v>
      </c>
      <c r="F11" s="2">
        <v>1156.3222845370999</v>
      </c>
      <c r="G11" s="2">
        <v>433.14462686760004</v>
      </c>
      <c r="H11" s="2">
        <v>513.01615414219987</v>
      </c>
      <c r="I11" s="2">
        <v>91.833219979199995</v>
      </c>
      <c r="J11" s="2">
        <v>64.278000907199996</v>
      </c>
      <c r="K11" s="2">
        <v>235.95695204540004</v>
      </c>
      <c r="L11" s="2">
        <v>333.38511117920001</v>
      </c>
      <c r="M11" s="2">
        <v>910.89407407580006</v>
      </c>
      <c r="N11" s="2">
        <v>1935.2482013741997</v>
      </c>
    </row>
    <row r="12" spans="1:14" x14ac:dyDescent="0.2">
      <c r="A12" s="1">
        <v>1971</v>
      </c>
      <c r="B12" s="2">
        <v>705.76333425529992</v>
      </c>
      <c r="C12" s="2">
        <v>462.42971707649997</v>
      </c>
      <c r="D12" s="2">
        <v>631.95024030560012</v>
      </c>
      <c r="E12" s="2">
        <v>517.75133774879987</v>
      </c>
      <c r="F12" s="2">
        <v>204.57507743349998</v>
      </c>
      <c r="G12" s="2">
        <v>192.75132048450001</v>
      </c>
      <c r="H12" s="2">
        <v>62.258666027499991</v>
      </c>
      <c r="I12" s="2">
        <v>53.880270820499994</v>
      </c>
      <c r="J12" s="2">
        <v>165.8862751437</v>
      </c>
      <c r="K12" s="2">
        <v>336.97049516469997</v>
      </c>
      <c r="L12" s="2">
        <v>422.9985598275</v>
      </c>
      <c r="M12" s="2">
        <v>422.9985598275</v>
      </c>
      <c r="N12" s="2">
        <v>705.76333425529992</v>
      </c>
    </row>
    <row r="13" spans="1:14" x14ac:dyDescent="0.2">
      <c r="A13" s="1">
        <v>1972</v>
      </c>
      <c r="B13" s="2">
        <v>124.5480351011</v>
      </c>
      <c r="C13" s="2">
        <v>145.9426052277</v>
      </c>
      <c r="D13" s="2">
        <v>134.01178459710002</v>
      </c>
      <c r="E13" s="2">
        <v>501.48359807940005</v>
      </c>
      <c r="F13" s="2">
        <v>429.11904579960003</v>
      </c>
      <c r="G13" s="2">
        <v>183.32124479910001</v>
      </c>
      <c r="H13" s="2">
        <v>552.61110826590004</v>
      </c>
      <c r="I13" s="2">
        <v>1630.4277041803998</v>
      </c>
      <c r="J13" s="2">
        <v>612.03487135620003</v>
      </c>
      <c r="K13" s="2">
        <v>741.85437890460003</v>
      </c>
      <c r="L13" s="2">
        <v>416.3365889296</v>
      </c>
      <c r="M13" s="2">
        <v>528.58682129459999</v>
      </c>
      <c r="N13" s="2">
        <v>1630.4277041803998</v>
      </c>
    </row>
    <row r="14" spans="1:14" x14ac:dyDescent="0.2">
      <c r="A14" s="1">
        <v>1973</v>
      </c>
      <c r="B14" s="2">
        <v>113.7482060861</v>
      </c>
      <c r="C14" s="2">
        <v>738.19219129869998</v>
      </c>
      <c r="D14" s="2">
        <v>468.17610003840002</v>
      </c>
      <c r="E14" s="2">
        <v>767.55702926189997</v>
      </c>
      <c r="F14" s="2">
        <v>315.95119087269995</v>
      </c>
      <c r="G14" s="2">
        <v>238.90078246709999</v>
      </c>
      <c r="H14" s="2">
        <v>134.01178459710002</v>
      </c>
      <c r="I14" s="2">
        <v>134.01178459710002</v>
      </c>
      <c r="J14" s="2">
        <v>249.4003860487</v>
      </c>
      <c r="K14" s="2">
        <v>162.85844864609999</v>
      </c>
      <c r="L14" s="2">
        <v>135.95627356969999</v>
      </c>
      <c r="M14" s="2">
        <v>640.46839524339998</v>
      </c>
      <c r="N14" s="2">
        <v>767.55702926189997</v>
      </c>
    </row>
    <row r="15" spans="1:14" x14ac:dyDescent="0.2">
      <c r="A15" s="1">
        <v>1974</v>
      </c>
      <c r="B15" s="2">
        <v>1022.9249022605001</v>
      </c>
      <c r="C15" s="2">
        <v>562.21859704659994</v>
      </c>
      <c r="D15" s="2">
        <v>193.14261379560003</v>
      </c>
      <c r="E15" s="2">
        <v>323.01220562730003</v>
      </c>
      <c r="F15" s="2">
        <v>585.83934772530006</v>
      </c>
      <c r="G15" s="2">
        <v>810.69586117809979</v>
      </c>
      <c r="H15" s="2">
        <v>640.13996622609989</v>
      </c>
      <c r="I15" s="2">
        <v>143.9003037105</v>
      </c>
      <c r="J15" s="2">
        <v>231.82715375399999</v>
      </c>
      <c r="K15" s="2">
        <v>1077.2629101061</v>
      </c>
      <c r="L15" s="2">
        <v>528.48779145459991</v>
      </c>
      <c r="M15" s="2">
        <v>329.02958000850003</v>
      </c>
      <c r="N15" s="2">
        <v>1077.2629101061</v>
      </c>
    </row>
    <row r="16" spans="1:14" x14ac:dyDescent="0.2">
      <c r="A16" s="1">
        <v>1975</v>
      </c>
      <c r="B16" s="2">
        <v>234.36513886249998</v>
      </c>
      <c r="C16" s="2">
        <v>153.96427810200001</v>
      </c>
      <c r="D16" s="2">
        <v>531.86352016209992</v>
      </c>
      <c r="E16" s="2">
        <v>1000.3289286065999</v>
      </c>
      <c r="F16" s="2">
        <v>640.13996622609989</v>
      </c>
      <c r="G16" s="2">
        <v>282.45892371410002</v>
      </c>
      <c r="H16" s="2">
        <v>375.93991391399999</v>
      </c>
      <c r="I16" s="2">
        <v>288.08398559850002</v>
      </c>
      <c r="J16" s="2">
        <v>143.9003037105</v>
      </c>
      <c r="K16" s="2">
        <v>279.66745629479999</v>
      </c>
      <c r="L16" s="2">
        <v>419.1290327973</v>
      </c>
      <c r="M16" s="2">
        <v>408.95401692600001</v>
      </c>
      <c r="N16" s="2">
        <v>1000.3289286065999</v>
      </c>
    </row>
    <row r="17" spans="1:14" x14ac:dyDescent="0.2">
      <c r="A17" s="1">
        <v>1976</v>
      </c>
      <c r="B17" s="2">
        <v>170.80790963959998</v>
      </c>
      <c r="C17" s="2">
        <v>224.2979406801</v>
      </c>
      <c r="D17" s="2">
        <v>344.31757056200001</v>
      </c>
      <c r="E17" s="2">
        <v>484.36328660240008</v>
      </c>
      <c r="F17" s="2">
        <v>477.56527122080001</v>
      </c>
      <c r="G17" s="2">
        <v>739.97102884969979</v>
      </c>
      <c r="H17" s="2">
        <v>1183.3148943657998</v>
      </c>
      <c r="I17" s="2">
        <v>242.32411690640001</v>
      </c>
      <c r="J17" s="2">
        <v>337.08493864800005</v>
      </c>
      <c r="K17" s="2">
        <v>411.46358784480003</v>
      </c>
      <c r="L17" s="2">
        <v>307.849880756</v>
      </c>
      <c r="M17" s="2">
        <v>1369.4469378158999</v>
      </c>
      <c r="N17" s="2">
        <v>1369.4469378158999</v>
      </c>
    </row>
    <row r="18" spans="1:14" x14ac:dyDescent="0.2">
      <c r="A18" s="1">
        <v>1977</v>
      </c>
      <c r="B18" s="2">
        <v>781.96934315929991</v>
      </c>
      <c r="C18" s="2">
        <v>712.36565435529985</v>
      </c>
      <c r="D18" s="2">
        <v>325.2609409424</v>
      </c>
      <c r="E18" s="2">
        <v>444.07675735279997</v>
      </c>
      <c r="F18" s="2">
        <v>195.48141265909999</v>
      </c>
      <c r="G18" s="2">
        <v>183.94504471760001</v>
      </c>
      <c r="H18" s="2">
        <v>349.07822350879997</v>
      </c>
      <c r="I18" s="2">
        <v>157.667654924</v>
      </c>
      <c r="J18" s="2">
        <v>322.33179564950001</v>
      </c>
      <c r="K18" s="2">
        <v>623.29659532569997</v>
      </c>
      <c r="L18" s="2">
        <v>532.83348612000009</v>
      </c>
      <c r="M18" s="2">
        <v>822.15575668969996</v>
      </c>
      <c r="N18" s="2">
        <v>822.15575668969996</v>
      </c>
    </row>
    <row r="19" spans="1:14" x14ac:dyDescent="0.2">
      <c r="A19" s="1">
        <v>1978</v>
      </c>
      <c r="B19" s="2">
        <v>653.96373498889989</v>
      </c>
      <c r="C19" s="2">
        <v>847.17432885639994</v>
      </c>
      <c r="D19" s="2">
        <v>513.90295667269993</v>
      </c>
      <c r="E19" s="2">
        <v>419.54020189369999</v>
      </c>
      <c r="F19" s="2">
        <v>2018.2108976710992</v>
      </c>
      <c r="G19" s="2">
        <v>942.07110308810024</v>
      </c>
      <c r="H19" s="2">
        <v>356.92521299359998</v>
      </c>
      <c r="I19" s="2">
        <v>111.63877958899999</v>
      </c>
      <c r="J19" s="2">
        <v>709.25059708329991</v>
      </c>
      <c r="K19" s="2">
        <v>234.06810725510002</v>
      </c>
      <c r="L19" s="2">
        <v>137.47218941079998</v>
      </c>
      <c r="M19" s="2">
        <v>861.51050206799994</v>
      </c>
      <c r="N19" s="2">
        <v>2018.2108976710992</v>
      </c>
    </row>
    <row r="20" spans="1:14" x14ac:dyDescent="0.2">
      <c r="A20" s="1">
        <v>1979</v>
      </c>
      <c r="B20" s="2">
        <v>636.88073394640003</v>
      </c>
      <c r="C20" s="2">
        <v>553.06800923390006</v>
      </c>
      <c r="D20" s="2">
        <v>252.06750836499998</v>
      </c>
      <c r="E20" s="2">
        <v>807.90339941249999</v>
      </c>
      <c r="F20" s="2">
        <v>395.32824230890003</v>
      </c>
      <c r="G20" s="2">
        <v>145.4994127928</v>
      </c>
      <c r="H20" s="2">
        <v>450.39099636670005</v>
      </c>
      <c r="I20" s="2">
        <v>95.231053137999993</v>
      </c>
      <c r="J20" s="2">
        <v>147.55264440179999</v>
      </c>
      <c r="K20" s="2">
        <v>595.05896870989989</v>
      </c>
      <c r="L20" s="2">
        <v>798.3739045120999</v>
      </c>
      <c r="M20" s="2">
        <v>457.76197279909991</v>
      </c>
      <c r="N20" s="2">
        <v>807.90339941249999</v>
      </c>
    </row>
    <row r="21" spans="1:14" x14ac:dyDescent="0.2">
      <c r="A21" s="1">
        <v>1980</v>
      </c>
      <c r="B21" s="2">
        <v>858.59193593389989</v>
      </c>
      <c r="C21" s="2">
        <v>962.96057999610048</v>
      </c>
      <c r="D21" s="2">
        <v>380.66148783889997</v>
      </c>
      <c r="E21" s="2">
        <v>457.76197279909991</v>
      </c>
      <c r="F21" s="2">
        <v>758.4288138748999</v>
      </c>
      <c r="G21" s="2">
        <v>404.01752436289996</v>
      </c>
      <c r="H21" s="2">
        <v>218.94363391179999</v>
      </c>
      <c r="I21" s="2">
        <v>83.542312629199984</v>
      </c>
      <c r="J21" s="2">
        <v>68.693261734399996</v>
      </c>
      <c r="K21" s="2">
        <v>136.0496056918</v>
      </c>
      <c r="L21" s="2">
        <v>530.10750116489999</v>
      </c>
      <c r="M21" s="2">
        <v>530.10750116489999</v>
      </c>
      <c r="N21" s="2">
        <v>962.96057999610048</v>
      </c>
    </row>
    <row r="22" spans="1:14" x14ac:dyDescent="0.2">
      <c r="A22" s="1">
        <v>1981</v>
      </c>
      <c r="B22" s="2">
        <v>542.87126654209999</v>
      </c>
      <c r="C22" s="2">
        <v>353.81087134640006</v>
      </c>
      <c r="D22" s="2">
        <v>1437.3147909874001</v>
      </c>
      <c r="E22" s="2">
        <v>413.62538060510002</v>
      </c>
      <c r="F22" s="2">
        <v>452.39965539240001</v>
      </c>
      <c r="G22" s="2">
        <v>637.52989728</v>
      </c>
      <c r="H22" s="2">
        <v>158.75274477990001</v>
      </c>
      <c r="I22" s="2">
        <v>148.48335836429999</v>
      </c>
      <c r="J22" s="2">
        <v>165.87916907429999</v>
      </c>
      <c r="K22" s="2">
        <v>273.02470464390001</v>
      </c>
      <c r="L22" s="2">
        <v>310.89960672239999</v>
      </c>
      <c r="M22" s="2">
        <v>1026.1438346271002</v>
      </c>
      <c r="N22" s="2">
        <v>1437.3147909874001</v>
      </c>
    </row>
    <row r="23" spans="1:14" x14ac:dyDescent="0.2">
      <c r="A23" s="1">
        <v>1982</v>
      </c>
      <c r="B23" s="2">
        <v>461.51783250749997</v>
      </c>
      <c r="C23" s="2">
        <v>127.826341684</v>
      </c>
      <c r="D23" s="2">
        <v>954.40052682930002</v>
      </c>
      <c r="E23" s="2">
        <v>863.46639175489997</v>
      </c>
      <c r="F23" s="2">
        <v>351.05787657090002</v>
      </c>
      <c r="G23" s="2">
        <v>555.71468984249998</v>
      </c>
      <c r="H23" s="2">
        <v>158.75274477990001</v>
      </c>
      <c r="I23" s="2">
        <v>140.2909125768</v>
      </c>
      <c r="J23" s="2">
        <v>54.597789821999953</v>
      </c>
      <c r="K23" s="2">
        <v>443.34336543810002</v>
      </c>
      <c r="L23" s="2">
        <v>109.08938000549998</v>
      </c>
      <c r="M23" s="2">
        <v>517.42758180689998</v>
      </c>
      <c r="N23" s="2">
        <v>954.40052682930002</v>
      </c>
    </row>
    <row r="24" spans="1:14" x14ac:dyDescent="0.2">
      <c r="A24" s="1">
        <v>1983</v>
      </c>
      <c r="B24" s="2">
        <v>285.38233134839999</v>
      </c>
      <c r="C24" s="2">
        <v>1398.3073159011001</v>
      </c>
      <c r="D24" s="2">
        <v>455.43225866490002</v>
      </c>
      <c r="E24" s="2">
        <v>542.87126654209999</v>
      </c>
      <c r="F24" s="2">
        <v>129.34313254829999</v>
      </c>
      <c r="G24" s="2">
        <v>419.5092551541</v>
      </c>
      <c r="H24" s="2">
        <v>219.8898733076</v>
      </c>
      <c r="I24" s="2">
        <v>209.1957874611</v>
      </c>
      <c r="J24" s="2">
        <v>384.68010159209996</v>
      </c>
      <c r="K24" s="2">
        <v>106.35697567149998</v>
      </c>
      <c r="L24" s="2">
        <v>258.56355867209999</v>
      </c>
      <c r="M24" s="2">
        <v>473.76861709110005</v>
      </c>
      <c r="N24" s="2">
        <v>1398.3073159011001</v>
      </c>
    </row>
    <row r="25" spans="1:14" x14ac:dyDescent="0.2">
      <c r="A25" s="1">
        <v>1984</v>
      </c>
      <c r="B25" s="2">
        <v>443.34336543810002</v>
      </c>
      <c r="C25" s="2">
        <v>856.70891652750004</v>
      </c>
      <c r="D25" s="2">
        <v>630.90027436039998</v>
      </c>
      <c r="E25" s="2">
        <v>873.59266457000001</v>
      </c>
      <c r="F25" s="2">
        <v>533.29074554240003</v>
      </c>
      <c r="G25" s="2">
        <v>329.3694170261</v>
      </c>
      <c r="H25" s="2">
        <v>387.53799272000003</v>
      </c>
      <c r="I25" s="2">
        <v>235.39043049510002</v>
      </c>
      <c r="J25" s="2">
        <v>256.19331477000003</v>
      </c>
      <c r="K25" s="2">
        <v>1739.4942931501</v>
      </c>
      <c r="L25" s="2">
        <v>282.8889388691</v>
      </c>
      <c r="M25" s="2">
        <v>126.32091209189998</v>
      </c>
      <c r="N25" s="2">
        <v>1739.4942931501</v>
      </c>
    </row>
    <row r="26" spans="1:14" x14ac:dyDescent="0.2">
      <c r="A26" s="1">
        <v>1985</v>
      </c>
      <c r="B26" s="2">
        <v>620.98009183250008</v>
      </c>
      <c r="C26" s="2">
        <v>253.83465882710001</v>
      </c>
      <c r="D26" s="2">
        <v>396.1613004029</v>
      </c>
      <c r="E26" s="2">
        <v>1569.9739449080998</v>
      </c>
      <c r="F26" s="2">
        <v>455.43225866490002</v>
      </c>
      <c r="G26" s="2">
        <v>239.92973489690002</v>
      </c>
      <c r="H26" s="2">
        <v>141.9037914859</v>
      </c>
      <c r="I26" s="2">
        <v>657.4906133316</v>
      </c>
      <c r="J26" s="2">
        <v>184.74319296429999</v>
      </c>
      <c r="K26" s="2">
        <v>101.0013578523</v>
      </c>
      <c r="L26" s="2">
        <v>431.36763490250007</v>
      </c>
      <c r="M26" s="2">
        <v>249.1523725749</v>
      </c>
      <c r="N26" s="2">
        <v>1569.9739449080998</v>
      </c>
    </row>
    <row r="27" spans="1:14" x14ac:dyDescent="0.2">
      <c r="A27" s="1">
        <v>1986</v>
      </c>
      <c r="B27" s="2">
        <v>489.22601828760003</v>
      </c>
      <c r="C27" s="2">
        <v>1077.8165277603002</v>
      </c>
      <c r="D27" s="2">
        <v>928.46845029460007</v>
      </c>
      <c r="E27" s="2">
        <v>601.23351190310007</v>
      </c>
      <c r="F27" s="2">
        <v>351.05787657090002</v>
      </c>
      <c r="G27" s="2">
        <v>620.98009183250008</v>
      </c>
      <c r="H27" s="2">
        <v>981.45131645460003</v>
      </c>
      <c r="I27" s="2">
        <v>617.68009323959996</v>
      </c>
      <c r="J27" s="2">
        <v>55.694295634299976</v>
      </c>
      <c r="K27" s="2">
        <v>196.82641386789999</v>
      </c>
      <c r="L27" s="2">
        <v>211.30894203</v>
      </c>
      <c r="M27" s="2">
        <v>148.48335836429999</v>
      </c>
      <c r="N27" s="2">
        <v>1077.8165277603002</v>
      </c>
    </row>
    <row r="28" spans="1:14" x14ac:dyDescent="0.2">
      <c r="A28" s="1">
        <v>1987</v>
      </c>
      <c r="B28" s="2">
        <v>1030.3356563586003</v>
      </c>
      <c r="C28" s="2">
        <v>601.23351190310007</v>
      </c>
      <c r="D28" s="2">
        <v>728.0224800789</v>
      </c>
      <c r="E28" s="2">
        <v>677.54810657040002</v>
      </c>
      <c r="F28" s="2">
        <v>2064.5778626626002</v>
      </c>
      <c r="G28" s="2">
        <v>345.5794526075</v>
      </c>
      <c r="H28" s="2">
        <v>251.4876562824</v>
      </c>
      <c r="I28" s="2">
        <v>105.00463893839999</v>
      </c>
      <c r="J28" s="2">
        <v>54.597789821999953</v>
      </c>
      <c r="K28" s="2">
        <v>62.344141621899979</v>
      </c>
      <c r="L28" s="2">
        <v>1280.3758128381</v>
      </c>
      <c r="M28" s="2">
        <v>667.50814622910002</v>
      </c>
      <c r="N28" s="2">
        <v>2064.5778626626002</v>
      </c>
    </row>
    <row r="29" spans="1:14" x14ac:dyDescent="0.2">
      <c r="A29" s="1">
        <v>1988</v>
      </c>
      <c r="B29" s="2">
        <v>396.1613004029</v>
      </c>
      <c r="C29" s="2">
        <v>362.12420158010002</v>
      </c>
      <c r="D29" s="2">
        <v>1026.1438346271002</v>
      </c>
      <c r="E29" s="2">
        <v>530.10750116489999</v>
      </c>
      <c r="F29" s="2">
        <v>359.34409929000003</v>
      </c>
      <c r="G29" s="2">
        <v>186.7159059084</v>
      </c>
      <c r="H29" s="2">
        <v>88.195356114299997</v>
      </c>
      <c r="I29" s="2">
        <v>54.597789821999953</v>
      </c>
      <c r="J29" s="2">
        <v>205.0084302969</v>
      </c>
      <c r="K29" s="2">
        <v>105.00463893839999</v>
      </c>
      <c r="L29" s="2">
        <v>117.51883568429999</v>
      </c>
      <c r="M29" s="2">
        <v>364.91320883040004</v>
      </c>
      <c r="N29" s="2">
        <v>1026.1438346271002</v>
      </c>
    </row>
    <row r="30" spans="1:14" x14ac:dyDescent="0.2">
      <c r="A30" s="1">
        <v>1989</v>
      </c>
      <c r="B30" s="2">
        <v>98.375834203899984</v>
      </c>
      <c r="C30" s="2">
        <v>511.12037316509998</v>
      </c>
      <c r="D30" s="2">
        <v>507.97518564000006</v>
      </c>
      <c r="E30" s="2">
        <v>198.89891480399999</v>
      </c>
      <c r="F30" s="2">
        <v>575.12002193910007</v>
      </c>
      <c r="G30" s="2">
        <v>431.36763490250007</v>
      </c>
      <c r="H30" s="2">
        <v>404.85768531560001</v>
      </c>
      <c r="I30" s="2">
        <v>939.44318216890008</v>
      </c>
      <c r="J30" s="2">
        <v>741.54136422409999</v>
      </c>
      <c r="K30" s="2">
        <v>1864.9251790281</v>
      </c>
      <c r="L30" s="2">
        <v>329.3694170261</v>
      </c>
      <c r="M30" s="2">
        <v>190.7102872888</v>
      </c>
      <c r="N30" s="2">
        <v>1864.9251790281</v>
      </c>
    </row>
    <row r="31" spans="1:14" x14ac:dyDescent="0.2">
      <c r="A31" s="1">
        <v>1990</v>
      </c>
      <c r="B31" s="2">
        <v>116.08889221199999</v>
      </c>
      <c r="C31" s="2">
        <v>224.25641060160001</v>
      </c>
      <c r="D31" s="2">
        <v>173.24050747749999</v>
      </c>
      <c r="E31" s="2">
        <v>298.0100253329</v>
      </c>
      <c r="F31" s="2">
        <v>107.71850789879998</v>
      </c>
      <c r="G31" s="2">
        <v>211.30894203</v>
      </c>
      <c r="H31" s="2">
        <v>57.896845591499954</v>
      </c>
      <c r="I31" s="2">
        <v>60.113075893499968</v>
      </c>
      <c r="J31" s="2">
        <v>40.562468733899976</v>
      </c>
      <c r="K31" s="2">
        <v>90.694543324299971</v>
      </c>
      <c r="L31" s="2">
        <v>230.89983373410001</v>
      </c>
      <c r="M31" s="2">
        <v>1229.3015241091002</v>
      </c>
      <c r="N31" s="2">
        <v>1229.3015241091002</v>
      </c>
    </row>
    <row r="32" spans="1:14" x14ac:dyDescent="0.2">
      <c r="A32" s="1">
        <v>1991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">
      <c r="A33" s="1">
        <v>1992</v>
      </c>
      <c r="B33" s="3"/>
      <c r="C33" s="3"/>
      <c r="D33" s="3"/>
      <c r="E33" s="3"/>
      <c r="F33" s="3"/>
      <c r="G33" s="3"/>
      <c r="H33" s="2">
        <v>95</v>
      </c>
      <c r="I33" s="2">
        <v>70.8</v>
      </c>
      <c r="J33" s="2">
        <v>68.3</v>
      </c>
      <c r="K33" s="2">
        <v>258</v>
      </c>
      <c r="L33" s="2">
        <v>382</v>
      </c>
      <c r="M33" s="2">
        <v>319</v>
      </c>
      <c r="N33" s="3"/>
    </row>
    <row r="34" spans="1:14" x14ac:dyDescent="0.2">
      <c r="A34" s="1">
        <v>1993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">
      <c r="A35" s="1">
        <v>1994</v>
      </c>
      <c r="B35" s="2"/>
      <c r="C35" s="2">
        <v>512</v>
      </c>
      <c r="D35" s="2">
        <v>455</v>
      </c>
      <c r="E35" s="2">
        <v>1380</v>
      </c>
      <c r="F35" s="2">
        <v>593</v>
      </c>
      <c r="G35" s="2">
        <v>343</v>
      </c>
      <c r="H35" s="2">
        <v>395</v>
      </c>
      <c r="I35" s="2">
        <v>69.599999999999994</v>
      </c>
      <c r="J35" s="2">
        <v>292</v>
      </c>
      <c r="K35" s="2">
        <v>547</v>
      </c>
      <c r="L35" s="2">
        <v>363</v>
      </c>
      <c r="M35" s="2">
        <v>292</v>
      </c>
      <c r="N35" s="2">
        <v>1380</v>
      </c>
    </row>
    <row r="36" spans="1:14" x14ac:dyDescent="0.2">
      <c r="A36" s="1">
        <v>1995</v>
      </c>
      <c r="B36" s="11">
        <v>651</v>
      </c>
      <c r="C36" s="11">
        <v>597</v>
      </c>
      <c r="D36" s="11">
        <v>494</v>
      </c>
      <c r="E36" s="11">
        <v>698</v>
      </c>
      <c r="F36" s="11">
        <v>414</v>
      </c>
      <c r="G36" s="11">
        <v>446</v>
      </c>
      <c r="H36" s="11">
        <v>392</v>
      </c>
      <c r="I36" s="11">
        <v>446</v>
      </c>
      <c r="J36" s="11">
        <v>395</v>
      </c>
      <c r="K36" s="11">
        <v>176</v>
      </c>
      <c r="L36" s="11">
        <v>403</v>
      </c>
      <c r="M36" s="11">
        <v>634</v>
      </c>
      <c r="N36" s="11">
        <v>698</v>
      </c>
    </row>
    <row r="37" spans="1:14" x14ac:dyDescent="0.2">
      <c r="A37" s="1">
        <v>1996</v>
      </c>
      <c r="B37" s="2">
        <v>541</v>
      </c>
      <c r="C37" s="2">
        <v>420</v>
      </c>
      <c r="D37" s="2">
        <v>1034</v>
      </c>
      <c r="E37" s="2">
        <v>826</v>
      </c>
      <c r="F37" s="2">
        <v>435</v>
      </c>
      <c r="G37" s="2">
        <v>160</v>
      </c>
      <c r="H37" s="2">
        <v>54.2</v>
      </c>
      <c r="I37" s="2">
        <v>65.900000000000006</v>
      </c>
      <c r="J37" s="2">
        <v>1256</v>
      </c>
      <c r="K37" s="2">
        <v>269</v>
      </c>
      <c r="L37" s="2">
        <v>627</v>
      </c>
      <c r="M37" s="2">
        <v>1034</v>
      </c>
      <c r="N37" s="2">
        <v>1256</v>
      </c>
    </row>
    <row r="38" spans="1:14" x14ac:dyDescent="0.2">
      <c r="A38" s="1">
        <v>1997</v>
      </c>
      <c r="B38" s="2">
        <v>727</v>
      </c>
      <c r="C38" s="2">
        <v>440</v>
      </c>
      <c r="D38" s="2">
        <v>290</v>
      </c>
      <c r="E38" s="2">
        <v>607</v>
      </c>
      <c r="F38" s="2">
        <v>535</v>
      </c>
      <c r="G38" s="2">
        <v>147</v>
      </c>
      <c r="H38" s="2">
        <v>300</v>
      </c>
      <c r="I38" s="2">
        <v>223</v>
      </c>
      <c r="J38" s="2">
        <v>111</v>
      </c>
      <c r="K38" s="2">
        <v>576</v>
      </c>
      <c r="L38" s="2">
        <v>604</v>
      </c>
      <c r="M38" s="2">
        <v>429</v>
      </c>
      <c r="N38" s="2">
        <v>727</v>
      </c>
    </row>
    <row r="39" spans="1:14" x14ac:dyDescent="0.2">
      <c r="A39" s="1">
        <v>1998</v>
      </c>
      <c r="B39" s="2">
        <v>458</v>
      </c>
      <c r="C39" s="2">
        <v>387</v>
      </c>
      <c r="D39" s="2">
        <v>179</v>
      </c>
      <c r="E39" s="2">
        <v>317</v>
      </c>
      <c r="F39" s="2">
        <v>219</v>
      </c>
      <c r="G39" s="2">
        <v>241</v>
      </c>
      <c r="H39" s="2">
        <v>130</v>
      </c>
      <c r="I39" s="2">
        <v>69.599999999999994</v>
      </c>
      <c r="J39" s="2">
        <v>854</v>
      </c>
      <c r="K39" s="2">
        <v>593</v>
      </c>
      <c r="L39" s="2">
        <v>449</v>
      </c>
      <c r="M39" s="2">
        <v>723</v>
      </c>
      <c r="N39" s="2">
        <v>854</v>
      </c>
    </row>
    <row r="40" spans="1:14" x14ac:dyDescent="0.2">
      <c r="A40" s="1">
        <v>1999</v>
      </c>
      <c r="B40" s="2">
        <v>374</v>
      </c>
      <c r="C40" s="2">
        <v>723</v>
      </c>
      <c r="D40" s="2">
        <v>764</v>
      </c>
      <c r="E40" s="2">
        <v>473</v>
      </c>
      <c r="F40" s="2">
        <v>295</v>
      </c>
      <c r="G40" s="2">
        <v>500</v>
      </c>
      <c r="H40" s="2">
        <v>461</v>
      </c>
      <c r="I40" s="2">
        <v>128</v>
      </c>
      <c r="J40" s="2">
        <v>167</v>
      </c>
      <c r="K40" s="2">
        <v>74.599999999999994</v>
      </c>
      <c r="L40" s="2">
        <v>1048</v>
      </c>
      <c r="M40" s="2">
        <v>1441</v>
      </c>
      <c r="N40" s="2">
        <v>1441</v>
      </c>
    </row>
    <row r="41" spans="1:14" x14ac:dyDescent="0.2">
      <c r="A41" s="1">
        <v>2000</v>
      </c>
      <c r="B41" s="2">
        <v>519</v>
      </c>
      <c r="C41" s="2">
        <v>814</v>
      </c>
      <c r="D41" s="2">
        <v>461</v>
      </c>
      <c r="E41" s="2">
        <v>948</v>
      </c>
      <c r="F41" s="2">
        <v>258</v>
      </c>
      <c r="G41" s="2">
        <v>128</v>
      </c>
      <c r="H41" s="2">
        <v>56.4</v>
      </c>
      <c r="I41" s="2">
        <v>31.6</v>
      </c>
      <c r="J41" s="2">
        <v>50.8</v>
      </c>
      <c r="K41" s="2">
        <v>116</v>
      </c>
      <c r="L41" s="2">
        <v>276</v>
      </c>
      <c r="M41" s="2">
        <v>727</v>
      </c>
      <c r="N41" s="2">
        <v>948</v>
      </c>
    </row>
    <row r="42" spans="1:14" x14ac:dyDescent="0.2">
      <c r="A42" s="1">
        <v>2001</v>
      </c>
      <c r="B42" s="2">
        <v>624</v>
      </c>
      <c r="C42" s="2">
        <v>319</v>
      </c>
      <c r="D42" s="2">
        <v>807</v>
      </c>
      <c r="E42" s="2">
        <v>826</v>
      </c>
      <c r="F42" s="2">
        <v>400</v>
      </c>
      <c r="G42" s="2">
        <v>2553</v>
      </c>
      <c r="H42" s="2">
        <v>384</v>
      </c>
      <c r="I42" s="2">
        <v>81.2</v>
      </c>
      <c r="J42" s="2">
        <v>940</v>
      </c>
      <c r="K42" s="2">
        <v>217</v>
      </c>
      <c r="L42" s="2">
        <v>694</v>
      </c>
      <c r="M42" s="2">
        <v>327</v>
      </c>
      <c r="N42" s="2">
        <v>2553</v>
      </c>
    </row>
    <row r="43" spans="1:14" x14ac:dyDescent="0.2">
      <c r="A43" s="1">
        <v>2002</v>
      </c>
      <c r="B43" s="2">
        <v>379</v>
      </c>
      <c r="C43" s="2">
        <v>624</v>
      </c>
      <c r="D43" s="2">
        <v>260</v>
      </c>
      <c r="E43" s="2">
        <v>1147</v>
      </c>
      <c r="F43" s="2">
        <v>1142</v>
      </c>
      <c r="G43" s="2">
        <v>256</v>
      </c>
      <c r="H43" s="2">
        <v>78.599999999999994</v>
      </c>
      <c r="I43" s="2">
        <v>195</v>
      </c>
      <c r="J43" s="2">
        <v>470</v>
      </c>
      <c r="K43" s="2">
        <v>957</v>
      </c>
      <c r="L43" s="2">
        <v>538</v>
      </c>
      <c r="M43" s="2">
        <v>307</v>
      </c>
      <c r="N43" s="2">
        <v>1147</v>
      </c>
    </row>
    <row r="44" spans="1:14" x14ac:dyDescent="0.2">
      <c r="A44" s="1">
        <v>2003</v>
      </c>
      <c r="B44" s="2">
        <v>387</v>
      </c>
      <c r="C44" s="2">
        <v>330</v>
      </c>
      <c r="D44" s="2">
        <v>230</v>
      </c>
      <c r="E44" s="2">
        <v>417</v>
      </c>
      <c r="F44" s="2">
        <v>133</v>
      </c>
      <c r="G44" s="2">
        <v>96.4</v>
      </c>
      <c r="H44" s="2">
        <v>78.599999999999994</v>
      </c>
      <c r="I44" s="2">
        <v>45.4</v>
      </c>
      <c r="J44" s="2">
        <v>58.7</v>
      </c>
      <c r="K44" s="2">
        <v>965</v>
      </c>
      <c r="L44" s="2">
        <v>455</v>
      </c>
      <c r="M44" s="2">
        <v>140</v>
      </c>
      <c r="N44" s="2">
        <v>965</v>
      </c>
    </row>
    <row r="45" spans="1:14" x14ac:dyDescent="0.2">
      <c r="A45" s="1">
        <v>2004</v>
      </c>
      <c r="B45" s="2">
        <v>429</v>
      </c>
      <c r="C45" s="2">
        <v>406</v>
      </c>
      <c r="D45" s="2">
        <v>443</v>
      </c>
      <c r="E45" s="2">
        <v>1590</v>
      </c>
      <c r="F45" s="2">
        <v>319</v>
      </c>
      <c r="G45" s="2">
        <v>485</v>
      </c>
      <c r="H45" s="2">
        <v>932</v>
      </c>
      <c r="I45" s="2">
        <v>145</v>
      </c>
      <c r="J45" s="2">
        <v>132</v>
      </c>
      <c r="K45" s="2">
        <v>201</v>
      </c>
      <c r="L45" s="2">
        <v>500</v>
      </c>
      <c r="M45" s="2">
        <v>791</v>
      </c>
      <c r="N45" s="2">
        <v>1590</v>
      </c>
    </row>
    <row r="46" spans="1:14" x14ac:dyDescent="0.2">
      <c r="A46" s="1">
        <v>2005</v>
      </c>
      <c r="B46" s="2">
        <v>217</v>
      </c>
      <c r="C46" s="2">
        <v>414</v>
      </c>
      <c r="D46" s="2">
        <v>1305</v>
      </c>
      <c r="E46" s="2">
        <v>580</v>
      </c>
      <c r="F46" s="2">
        <v>597</v>
      </c>
      <c r="G46" s="2">
        <v>1000</v>
      </c>
      <c r="H46" s="2">
        <v>1740</v>
      </c>
      <c r="I46" s="2">
        <v>641</v>
      </c>
      <c r="J46" s="2">
        <v>178</v>
      </c>
      <c r="K46" s="2">
        <v>223</v>
      </c>
      <c r="L46" s="2">
        <v>443</v>
      </c>
      <c r="M46" s="2">
        <v>757</v>
      </c>
      <c r="N46" s="2">
        <v>1740</v>
      </c>
    </row>
    <row r="47" spans="1:14" x14ac:dyDescent="0.2">
      <c r="A47" s="1">
        <v>2006</v>
      </c>
      <c r="B47" s="2">
        <v>701</v>
      </c>
      <c r="C47" s="2">
        <v>290</v>
      </c>
      <c r="D47" s="2">
        <v>1405</v>
      </c>
      <c r="E47" s="2">
        <v>749</v>
      </c>
      <c r="F47" s="2">
        <v>366</v>
      </c>
      <c r="G47" s="2">
        <v>500</v>
      </c>
      <c r="H47" s="2">
        <v>541</v>
      </c>
      <c r="I47" s="2">
        <v>970</v>
      </c>
      <c r="J47" s="2">
        <v>205</v>
      </c>
      <c r="K47" s="2">
        <v>319</v>
      </c>
      <c r="L47" s="2">
        <v>95</v>
      </c>
      <c r="M47" s="2">
        <v>137</v>
      </c>
      <c r="N47" s="2">
        <v>1405</v>
      </c>
    </row>
    <row r="48" spans="1:14" x14ac:dyDescent="0.2">
      <c r="A48" s="1">
        <v>2007</v>
      </c>
      <c r="B48" s="2">
        <v>384</v>
      </c>
      <c r="C48" s="2">
        <v>515</v>
      </c>
      <c r="D48" s="2">
        <v>400</v>
      </c>
      <c r="E48" s="2">
        <v>432</v>
      </c>
      <c r="F48" s="2">
        <v>167</v>
      </c>
      <c r="G48" s="2">
        <v>167</v>
      </c>
      <c r="H48" s="2">
        <v>49.6</v>
      </c>
      <c r="I48" s="2">
        <v>82.6</v>
      </c>
      <c r="J48" s="2">
        <v>225</v>
      </c>
      <c r="K48" s="2">
        <v>290</v>
      </c>
      <c r="L48" s="2">
        <v>866</v>
      </c>
      <c r="M48" s="2">
        <v>435</v>
      </c>
      <c r="N48" s="2">
        <v>866</v>
      </c>
    </row>
    <row r="49" spans="1:14" x14ac:dyDescent="0.2">
      <c r="A49" s="1">
        <v>2008</v>
      </c>
      <c r="B49" s="2">
        <v>420</v>
      </c>
      <c r="C49" s="2">
        <v>221</v>
      </c>
      <c r="D49" s="2">
        <v>627</v>
      </c>
      <c r="E49" s="2">
        <v>279</v>
      </c>
      <c r="F49" s="2">
        <v>269</v>
      </c>
      <c r="G49" s="2">
        <v>142</v>
      </c>
      <c r="H49" s="2">
        <v>473</v>
      </c>
      <c r="I49" s="2">
        <v>49.6</v>
      </c>
      <c r="J49" s="2">
        <v>145</v>
      </c>
      <c r="K49" s="2">
        <v>197</v>
      </c>
      <c r="L49" s="2">
        <v>247</v>
      </c>
      <c r="M49" s="2">
        <v>787</v>
      </c>
      <c r="N49" s="2">
        <v>787</v>
      </c>
    </row>
    <row r="50" spans="1:14" x14ac:dyDescent="0.2">
      <c r="A50" s="1">
        <v>2009</v>
      </c>
      <c r="B50" s="2">
        <v>541</v>
      </c>
      <c r="C50" s="2">
        <v>263</v>
      </c>
      <c r="D50" s="2">
        <v>850</v>
      </c>
      <c r="E50" s="2">
        <v>932</v>
      </c>
      <c r="F50" s="2">
        <v>145</v>
      </c>
      <c r="G50" s="2">
        <v>432</v>
      </c>
      <c r="H50" s="2">
        <v>267</v>
      </c>
      <c r="I50" s="2">
        <v>78.599999999999994</v>
      </c>
      <c r="J50" s="2">
        <v>30.8</v>
      </c>
      <c r="K50" s="2">
        <v>458</v>
      </c>
      <c r="L50" s="2">
        <v>203</v>
      </c>
      <c r="M50" s="2">
        <v>1079</v>
      </c>
      <c r="N50" s="2">
        <v>1079</v>
      </c>
    </row>
    <row r="51" spans="1:14" x14ac:dyDescent="0.2">
      <c r="A51" s="1">
        <v>2010</v>
      </c>
      <c r="B51" s="2">
        <v>796</v>
      </c>
      <c r="C51" s="2">
        <v>1147</v>
      </c>
      <c r="D51" s="2">
        <v>547</v>
      </c>
      <c r="E51" s="2">
        <v>330</v>
      </c>
      <c r="F51" s="2">
        <v>1145</v>
      </c>
      <c r="G51" s="2">
        <v>1914</v>
      </c>
      <c r="H51" s="2">
        <v>355</v>
      </c>
      <c r="I51" s="2">
        <v>79.900000000000006</v>
      </c>
      <c r="J51" s="2">
        <v>147</v>
      </c>
      <c r="K51" s="2">
        <v>189</v>
      </c>
      <c r="L51" s="2">
        <v>641</v>
      </c>
      <c r="M51" s="2">
        <v>1093</v>
      </c>
      <c r="N51" s="2">
        <v>1914</v>
      </c>
    </row>
    <row r="52" spans="1:14" x14ac:dyDescent="0.2">
      <c r="A52" s="1">
        <v>2011</v>
      </c>
      <c r="B52" s="2">
        <v>156</v>
      </c>
      <c r="C52" s="2">
        <v>156</v>
      </c>
      <c r="D52" s="2">
        <v>307</v>
      </c>
      <c r="E52" s="2">
        <v>169</v>
      </c>
      <c r="F52" s="2">
        <v>366</v>
      </c>
      <c r="G52" s="2">
        <v>183</v>
      </c>
      <c r="H52" s="2">
        <v>124</v>
      </c>
      <c r="I52" s="2">
        <v>53</v>
      </c>
      <c r="J52" s="2">
        <v>30</v>
      </c>
      <c r="K52" s="2">
        <v>35.700000000000003</v>
      </c>
      <c r="L52" s="2">
        <v>22</v>
      </c>
      <c r="M52" s="2">
        <v>113</v>
      </c>
      <c r="N52" s="2">
        <v>366</v>
      </c>
    </row>
    <row r="53" spans="1:14" x14ac:dyDescent="0.2">
      <c r="A53" s="1">
        <v>2012</v>
      </c>
      <c r="B53" s="2">
        <v>132</v>
      </c>
      <c r="C53" s="2">
        <v>156</v>
      </c>
      <c r="D53" s="2">
        <v>426</v>
      </c>
      <c r="E53" s="2">
        <v>449</v>
      </c>
      <c r="F53" s="2">
        <v>1057</v>
      </c>
      <c r="G53" s="2">
        <v>217</v>
      </c>
      <c r="H53" s="2">
        <v>47.5</v>
      </c>
      <c r="I53" s="2">
        <v>24</v>
      </c>
      <c r="J53" s="2">
        <v>47.5</v>
      </c>
      <c r="K53" s="2">
        <v>73.3</v>
      </c>
      <c r="L53" s="2">
        <v>47.5</v>
      </c>
      <c r="M53" s="2">
        <v>479</v>
      </c>
      <c r="N53" s="2">
        <v>1057</v>
      </c>
    </row>
    <row r="54" spans="1:14" x14ac:dyDescent="0.2">
      <c r="A54" s="1">
        <v>2013</v>
      </c>
      <c r="B54" s="2">
        <v>519</v>
      </c>
      <c r="C54" s="2">
        <v>1431</v>
      </c>
      <c r="D54" s="2">
        <v>617</v>
      </c>
      <c r="E54" s="2">
        <v>701</v>
      </c>
      <c r="F54" s="2">
        <v>400</v>
      </c>
      <c r="G54" s="2">
        <v>151</v>
      </c>
      <c r="H54" s="2">
        <v>101</v>
      </c>
      <c r="I54" s="2">
        <v>25.2</v>
      </c>
      <c r="J54" s="2">
        <v>68.3</v>
      </c>
      <c r="K54" s="2">
        <v>97.8</v>
      </c>
      <c r="L54" s="2">
        <v>245</v>
      </c>
      <c r="M54" s="2">
        <v>104</v>
      </c>
      <c r="N54" s="2">
        <v>1431</v>
      </c>
    </row>
    <row r="55" spans="1:14" x14ac:dyDescent="0.2">
      <c r="A55" s="1">
        <v>2014</v>
      </c>
      <c r="B55" s="2">
        <v>160</v>
      </c>
      <c r="C55" s="2">
        <v>122</v>
      </c>
      <c r="D55" s="2">
        <v>392</v>
      </c>
      <c r="E55" s="2">
        <v>1441</v>
      </c>
      <c r="F55" s="2">
        <v>4205</v>
      </c>
      <c r="G55" s="2">
        <v>223</v>
      </c>
      <c r="H55" s="2">
        <v>174</v>
      </c>
      <c r="I55" s="2">
        <v>1885</v>
      </c>
      <c r="J55" s="2">
        <v>1070</v>
      </c>
      <c r="K55" s="2">
        <v>256</v>
      </c>
      <c r="L55" s="2">
        <v>119</v>
      </c>
      <c r="M55" s="2">
        <v>389</v>
      </c>
      <c r="N55" s="2">
        <v>4205</v>
      </c>
    </row>
    <row r="56" spans="1:14" x14ac:dyDescent="0.2">
      <c r="A56" s="1">
        <v>2015</v>
      </c>
      <c r="B56" s="2">
        <v>923</v>
      </c>
      <c r="C56" s="2">
        <v>432</v>
      </c>
      <c r="D56" s="2">
        <v>494</v>
      </c>
      <c r="E56" s="2">
        <v>494</v>
      </c>
      <c r="F56" s="2">
        <v>446</v>
      </c>
      <c r="G56" s="2">
        <v>92.2</v>
      </c>
      <c r="H56" s="2">
        <v>49.6</v>
      </c>
      <c r="I56" s="2">
        <v>27</v>
      </c>
      <c r="J56" s="2">
        <v>62.2</v>
      </c>
      <c r="K56" s="2">
        <v>384</v>
      </c>
      <c r="L56" s="2">
        <v>183</v>
      </c>
      <c r="M56" s="2">
        <v>187</v>
      </c>
      <c r="N56" s="2">
        <v>923</v>
      </c>
    </row>
    <row r="57" spans="1:14" x14ac:dyDescent="0.2">
      <c r="A57" s="1">
        <v>2016</v>
      </c>
      <c r="B57" s="2">
        <v>432</v>
      </c>
      <c r="C57" s="2">
        <v>547</v>
      </c>
      <c r="D57" s="2">
        <v>621</v>
      </c>
      <c r="E57" s="2">
        <v>225</v>
      </c>
      <c r="F57" s="2">
        <v>923</v>
      </c>
      <c r="G57" s="2">
        <v>147</v>
      </c>
      <c r="H57" s="2">
        <v>497</v>
      </c>
      <c r="I57" s="2">
        <v>211</v>
      </c>
      <c r="J57" s="2">
        <v>154</v>
      </c>
      <c r="K57" s="2">
        <v>234</v>
      </c>
      <c r="L57" s="2">
        <v>621</v>
      </c>
      <c r="M57" s="2">
        <v>58.7</v>
      </c>
      <c r="N57" s="2">
        <v>923</v>
      </c>
    </row>
    <row r="58" spans="1:14" x14ac:dyDescent="0.2">
      <c r="A58" s="1">
        <v>2017</v>
      </c>
      <c r="B58" s="2">
        <v>257.2</v>
      </c>
      <c r="C58" s="2">
        <v>473</v>
      </c>
      <c r="D58" s="2">
        <v>883.5</v>
      </c>
      <c r="E58" s="2">
        <v>605.20000000000005</v>
      </c>
      <c r="F58" s="2">
        <v>440.3</v>
      </c>
      <c r="G58" s="2">
        <v>127.9</v>
      </c>
      <c r="H58" s="2">
        <v>127.7</v>
      </c>
      <c r="I58" s="2">
        <v>223</v>
      </c>
      <c r="J58" s="2">
        <v>72.260000000000005</v>
      </c>
      <c r="K58" s="2">
        <v>572.70000000000005</v>
      </c>
      <c r="L58" s="2">
        <v>276.3</v>
      </c>
      <c r="M58" s="2">
        <v>860</v>
      </c>
      <c r="N58" s="2">
        <v>883.5</v>
      </c>
    </row>
    <row r="59" spans="1:14" x14ac:dyDescent="0.2">
      <c r="A59" s="1">
        <v>2018</v>
      </c>
      <c r="B59" s="2">
        <v>259.8</v>
      </c>
      <c r="C59" s="2">
        <v>736</v>
      </c>
      <c r="D59" s="2">
        <v>891.8</v>
      </c>
      <c r="E59" s="2">
        <v>1068</v>
      </c>
      <c r="F59" s="2">
        <v>913.4</v>
      </c>
      <c r="G59" s="2">
        <v>513.20000000000005</v>
      </c>
      <c r="H59" s="2">
        <v>325.5</v>
      </c>
      <c r="I59" s="2">
        <v>227</v>
      </c>
      <c r="J59" s="2">
        <v>58.58</v>
      </c>
      <c r="K59" s="2">
        <v>71.28</v>
      </c>
      <c r="L59" s="2">
        <v>113.2</v>
      </c>
      <c r="M59" s="2">
        <v>385.2</v>
      </c>
      <c r="N59" s="2">
        <v>1068</v>
      </c>
    </row>
    <row r="60" spans="1:14" x14ac:dyDescent="0.2">
      <c r="A60" s="1">
        <v>2019</v>
      </c>
      <c r="B60" s="2">
        <v>194.8</v>
      </c>
      <c r="C60" s="2">
        <v>1714.5</v>
      </c>
      <c r="D60" s="2">
        <v>262.7</v>
      </c>
      <c r="E60" s="2">
        <v>872.4</v>
      </c>
      <c r="F60" s="2">
        <v>1899.6</v>
      </c>
      <c r="G60" s="2">
        <v>1113.8</v>
      </c>
      <c r="H60" s="2">
        <v>223</v>
      </c>
      <c r="I60" s="2">
        <v>228.5</v>
      </c>
      <c r="J60" s="2">
        <v>223</v>
      </c>
      <c r="K60" s="2">
        <v>223</v>
      </c>
      <c r="L60" s="2">
        <v>67.7</v>
      </c>
      <c r="M60" s="2">
        <v>177.6</v>
      </c>
      <c r="N60" s="2">
        <v>1899.6</v>
      </c>
    </row>
    <row r="61" spans="1:14" x14ac:dyDescent="0.2">
      <c r="A61" s="1">
        <v>2020</v>
      </c>
      <c r="B61" s="2">
        <v>146.19999999999999</v>
      </c>
      <c r="C61" s="2">
        <v>158.80000000000001</v>
      </c>
      <c r="D61" s="2">
        <v>634.79999999999995</v>
      </c>
      <c r="E61" s="2">
        <v>55.96</v>
      </c>
      <c r="F61" s="2">
        <v>268.39999999999998</v>
      </c>
      <c r="G61" s="2">
        <v>1169.5</v>
      </c>
      <c r="H61" s="2">
        <v>148.19999999999999</v>
      </c>
      <c r="I61" s="2">
        <v>269</v>
      </c>
      <c r="J61" s="2">
        <v>34.9</v>
      </c>
      <c r="K61" s="2">
        <v>207.8</v>
      </c>
      <c r="L61" s="2">
        <v>128</v>
      </c>
      <c r="M61" s="2">
        <v>722.41600000000005</v>
      </c>
      <c r="N61" s="2">
        <v>1169.5</v>
      </c>
    </row>
    <row r="62" spans="1:14" x14ac:dyDescent="0.2">
      <c r="A62" s="1">
        <v>2021</v>
      </c>
      <c r="B62" s="2">
        <v>629</v>
      </c>
      <c r="C62" s="2">
        <v>451.7</v>
      </c>
      <c r="D62" s="2">
        <v>212.8</v>
      </c>
      <c r="E62" s="2">
        <v>198.4</v>
      </c>
      <c r="F62" s="2">
        <v>194.8</v>
      </c>
      <c r="G62" s="2">
        <v>93.88</v>
      </c>
      <c r="H62" s="2">
        <v>206.6</v>
      </c>
      <c r="I62" s="2">
        <v>24.24</v>
      </c>
      <c r="J62" s="2">
        <v>19.66</v>
      </c>
      <c r="K62" s="2">
        <v>212.8</v>
      </c>
      <c r="L62" s="2">
        <v>1385</v>
      </c>
      <c r="M62" s="2">
        <v>689.60799999999995</v>
      </c>
      <c r="N62" s="2">
        <f>MAX(B62:M62)</f>
        <v>1385</v>
      </c>
    </row>
    <row r="63" spans="1:14" x14ac:dyDescent="0.2">
      <c r="A63" s="1">
        <v>2022</v>
      </c>
      <c r="B63" s="1">
        <v>273.60000000000002</v>
      </c>
      <c r="C63" s="1">
        <v>169.7</v>
      </c>
      <c r="D63" s="1">
        <v>164.4</v>
      </c>
      <c r="E63" s="1">
        <v>225.4</v>
      </c>
      <c r="F63" s="1">
        <v>125.2</v>
      </c>
      <c r="G63" s="1">
        <v>660.48599999999999</v>
      </c>
      <c r="H63" s="1">
        <v>41.3</v>
      </c>
      <c r="I63" s="1">
        <v>55.96</v>
      </c>
      <c r="J63" s="1">
        <v>121</v>
      </c>
      <c r="K63" s="1">
        <v>103</v>
      </c>
      <c r="L63" s="1">
        <v>345.8</v>
      </c>
      <c r="M63" s="1">
        <v>510.5</v>
      </c>
      <c r="N63" s="2">
        <f t="shared" ref="N63:N66" si="0">MAX(B63:M63)</f>
        <v>660.48599999999999</v>
      </c>
    </row>
    <row r="64" spans="1:14" x14ac:dyDescent="0.2">
      <c r="A64" s="1">
        <v>2023</v>
      </c>
      <c r="B64" s="2">
        <v>965</v>
      </c>
      <c r="C64" s="2">
        <v>288.60000000000002</v>
      </c>
      <c r="D64" s="2">
        <v>766.65099999999995</v>
      </c>
      <c r="E64" s="2">
        <v>567</v>
      </c>
      <c r="F64" s="2">
        <v>766.65099999999995</v>
      </c>
      <c r="G64" s="2">
        <v>993</v>
      </c>
      <c r="H64" s="2">
        <v>109.8</v>
      </c>
      <c r="I64" s="2">
        <v>51.02</v>
      </c>
      <c r="J64" s="2">
        <v>94.02</v>
      </c>
      <c r="K64" s="2">
        <v>30</v>
      </c>
      <c r="L64" s="2">
        <v>764.07100000000003</v>
      </c>
      <c r="M64" s="2">
        <v>310.8</v>
      </c>
      <c r="N64" s="2">
        <f t="shared" si="0"/>
        <v>993</v>
      </c>
    </row>
    <row r="65" spans="1:14" x14ac:dyDescent="0.2">
      <c r="A65" s="1">
        <v>2024</v>
      </c>
      <c r="B65" s="1">
        <v>116.9</v>
      </c>
      <c r="C65" s="1">
        <v>212.2</v>
      </c>
      <c r="D65" s="1">
        <v>231.4</v>
      </c>
      <c r="E65" s="1">
        <v>75.72</v>
      </c>
      <c r="F65" s="1">
        <v>66.38</v>
      </c>
      <c r="G65" s="1">
        <v>68.06</v>
      </c>
      <c r="H65" s="1">
        <v>90.1</v>
      </c>
      <c r="I65" s="1">
        <v>20</v>
      </c>
      <c r="J65" s="1">
        <v>314</v>
      </c>
      <c r="K65" s="1">
        <v>665.27800000000002</v>
      </c>
      <c r="L65" s="1">
        <v>355</v>
      </c>
      <c r="M65" s="1">
        <v>275.8</v>
      </c>
      <c r="N65" s="2">
        <f t="shared" si="0"/>
        <v>665.27800000000002</v>
      </c>
    </row>
    <row r="66" spans="1:14" x14ac:dyDescent="0.2">
      <c r="A66" s="1">
        <v>2025</v>
      </c>
      <c r="B66" s="8">
        <v>741.21600000000001</v>
      </c>
      <c r="C66" s="8">
        <v>99.2</v>
      </c>
      <c r="D66" s="8">
        <v>1746</v>
      </c>
      <c r="E66" s="8">
        <v>783.60799999999995</v>
      </c>
      <c r="F66" s="8">
        <v>165.8</v>
      </c>
      <c r="G66" s="8">
        <v>60.04</v>
      </c>
      <c r="H66" s="8">
        <v>76.39</v>
      </c>
      <c r="I66" s="8">
        <v>67.099999999999994</v>
      </c>
      <c r="J66" s="8">
        <v>46.3</v>
      </c>
      <c r="K66" s="8">
        <v>117.4</v>
      </c>
      <c r="L66" s="8">
        <v>788.03099999999995</v>
      </c>
      <c r="M66" s="8">
        <v>178.1</v>
      </c>
      <c r="N66" s="2">
        <f t="shared" si="0"/>
        <v>1746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B5E7-C78F-0048-B131-807C4D5EEA2B}">
  <dimension ref="A1:N66"/>
  <sheetViews>
    <sheetView topLeftCell="A18" zoomScale="75" workbookViewId="0">
      <selection activeCell="E44" sqref="E44:E45"/>
    </sheetView>
  </sheetViews>
  <sheetFormatPr baseColWidth="10" defaultRowHeight="16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8</v>
      </c>
      <c r="K1" s="1" t="s">
        <v>14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1961</v>
      </c>
      <c r="B2" s="4">
        <v>73.069829037399998</v>
      </c>
      <c r="C2" s="4">
        <v>76.268813654599995</v>
      </c>
      <c r="D2" s="4">
        <v>106.43721330599999</v>
      </c>
      <c r="E2" s="4">
        <v>73.069829037399998</v>
      </c>
      <c r="F2" s="4">
        <v>98.868235338399998</v>
      </c>
      <c r="G2" s="4">
        <v>58.219931803400002</v>
      </c>
      <c r="H2" s="4">
        <v>38.560085108999999</v>
      </c>
      <c r="I2" s="4">
        <v>24.187423361800001</v>
      </c>
      <c r="J2" s="4">
        <v>20.823800671800001</v>
      </c>
      <c r="K2" s="4">
        <v>20.217003424600001</v>
      </c>
      <c r="L2" s="4">
        <v>33.487722251000001</v>
      </c>
      <c r="M2" s="4">
        <v>68.413303366600005</v>
      </c>
      <c r="N2" s="4">
        <v>20.217003424600001</v>
      </c>
    </row>
    <row r="3" spans="1:14" x14ac:dyDescent="0.2">
      <c r="A3" s="1">
        <v>1962</v>
      </c>
      <c r="B3" s="4">
        <v>86.314093011799997</v>
      </c>
      <c r="C3" s="4">
        <v>106.43721330599999</v>
      </c>
      <c r="D3" s="4">
        <v>215.34277707220002</v>
      </c>
      <c r="E3" s="4">
        <v>220.73530049179999</v>
      </c>
      <c r="F3" s="4">
        <v>82.891483688199997</v>
      </c>
      <c r="G3" s="4">
        <v>56.841505712999997</v>
      </c>
      <c r="H3" s="4">
        <v>33.487722251000001</v>
      </c>
      <c r="I3" s="4">
        <v>22.103524224399997</v>
      </c>
      <c r="J3" s="4">
        <v>20.823800671800001</v>
      </c>
      <c r="K3" s="4">
        <v>20.823800671800001</v>
      </c>
      <c r="L3" s="4">
        <v>21.452663356999999</v>
      </c>
      <c r="M3" s="4">
        <v>63.928733340999997</v>
      </c>
      <c r="N3" s="4">
        <v>20.823800671800001</v>
      </c>
    </row>
    <row r="4" spans="1:14" x14ac:dyDescent="0.2">
      <c r="A4" s="1">
        <v>1963</v>
      </c>
      <c r="B4" s="4">
        <v>118.3181317974</v>
      </c>
      <c r="C4" s="4">
        <v>155.29962347859998</v>
      </c>
      <c r="D4" s="4">
        <v>120.3589577762</v>
      </c>
      <c r="E4" s="4">
        <v>194.35668516179999</v>
      </c>
      <c r="F4" s="4">
        <v>137.29752364500001</v>
      </c>
      <c r="G4" s="4">
        <v>63.928733340999997</v>
      </c>
      <c r="H4" s="4">
        <v>40.734072506199993</v>
      </c>
      <c r="I4" s="4">
        <v>30.695638632199998</v>
      </c>
      <c r="J4" s="4">
        <v>29.807236643400003</v>
      </c>
      <c r="K4" s="4">
        <v>27.269849910600001</v>
      </c>
      <c r="L4" s="4">
        <v>26.466884930200003</v>
      </c>
      <c r="M4" s="4">
        <v>41.851877664599996</v>
      </c>
      <c r="N4" s="4">
        <v>26.466884930200003</v>
      </c>
    </row>
    <row r="5" spans="1:14" x14ac:dyDescent="0.2">
      <c r="A5" s="1">
        <v>1964</v>
      </c>
      <c r="B5" s="4">
        <v>36.468709976599996</v>
      </c>
      <c r="C5" s="4">
        <v>44.148774621999998</v>
      </c>
      <c r="D5" s="4">
        <v>158.29782166230001</v>
      </c>
      <c r="E5" s="4">
        <v>100.18749595669999</v>
      </c>
      <c r="F5" s="4">
        <v>109.5844255917</v>
      </c>
      <c r="G5" s="4">
        <v>62.809152322499997</v>
      </c>
      <c r="H5" s="4">
        <v>70.094987535499996</v>
      </c>
      <c r="I5" s="4">
        <v>46.142037086299993</v>
      </c>
      <c r="J5" s="4">
        <v>41.691510116699995</v>
      </c>
      <c r="K5" s="4">
        <v>43.876244383499994</v>
      </c>
      <c r="L5" s="4">
        <v>149.19832460629999</v>
      </c>
      <c r="M5" s="4">
        <v>172.42346991630001</v>
      </c>
      <c r="N5" s="4">
        <v>36.468709976599996</v>
      </c>
    </row>
    <row r="6" spans="1:14" x14ac:dyDescent="0.2">
      <c r="A6" s="1">
        <v>1965</v>
      </c>
      <c r="B6" s="4">
        <v>133.8999365265</v>
      </c>
      <c r="C6" s="4">
        <v>105.7728835823</v>
      </c>
      <c r="D6" s="4">
        <v>105.7728835823</v>
      </c>
      <c r="E6" s="4">
        <v>202.33772793869997</v>
      </c>
      <c r="F6" s="4">
        <v>210.15238433129997</v>
      </c>
      <c r="G6" s="4">
        <v>96.552621756299999</v>
      </c>
      <c r="H6" s="4">
        <v>40.629704316299993</v>
      </c>
      <c r="I6" s="4">
        <v>33.773680257499997</v>
      </c>
      <c r="J6" s="4">
        <v>33.773680257499997</v>
      </c>
      <c r="K6" s="4">
        <v>26.4683537003</v>
      </c>
      <c r="L6" s="4">
        <v>26.4683537003</v>
      </c>
      <c r="M6" s="4">
        <v>111.5163843707</v>
      </c>
      <c r="N6" s="4">
        <v>26.4683537003</v>
      </c>
    </row>
    <row r="7" spans="1:14" x14ac:dyDescent="0.2">
      <c r="A7" s="1">
        <v>1966</v>
      </c>
      <c r="B7" s="4">
        <v>98.361143256299997</v>
      </c>
      <c r="C7" s="4">
        <v>136.03600454029998</v>
      </c>
      <c r="D7" s="4">
        <v>142.54343518370001</v>
      </c>
      <c r="E7" s="4">
        <v>192.12485459150002</v>
      </c>
      <c r="F7" s="4">
        <v>105.7728835823</v>
      </c>
      <c r="G7" s="4">
        <v>64.228026252299998</v>
      </c>
      <c r="H7" s="4">
        <v>47.305165931699996</v>
      </c>
      <c r="I7" s="4">
        <v>38.56754422049999</v>
      </c>
      <c r="J7" s="4">
        <v>32.8774112547</v>
      </c>
      <c r="K7" s="4">
        <v>27.194876766299991</v>
      </c>
      <c r="L7" s="4">
        <v>67.123345316699996</v>
      </c>
      <c r="M7" s="4">
        <v>111.5163843707</v>
      </c>
      <c r="N7" s="4">
        <v>27.194876766299991</v>
      </c>
    </row>
    <row r="8" spans="1:14" x14ac:dyDescent="0.2">
      <c r="A8" s="1">
        <v>1967</v>
      </c>
      <c r="B8" s="4">
        <v>91.234702136699994</v>
      </c>
      <c r="C8" s="4">
        <v>87.779784135299991</v>
      </c>
      <c r="D8" s="4">
        <v>202.33772793869997</v>
      </c>
      <c r="E8" s="4">
        <v>226.17257726669999</v>
      </c>
      <c r="F8" s="4">
        <v>117.4162225913</v>
      </c>
      <c r="G8" s="4">
        <v>86.079630961500001</v>
      </c>
      <c r="H8" s="4">
        <v>67.123345316699996</v>
      </c>
      <c r="I8" s="4">
        <v>36.468709976599996</v>
      </c>
      <c r="J8" s="4">
        <v>32.535948691800002</v>
      </c>
      <c r="K8" s="4">
        <v>27.269849910600001</v>
      </c>
      <c r="L8" s="4">
        <v>24.925604399999997</v>
      </c>
      <c r="M8" s="4">
        <v>36.468709976599996</v>
      </c>
      <c r="N8" s="4">
        <v>24.925604399999997</v>
      </c>
    </row>
    <row r="9" spans="1:14" x14ac:dyDescent="0.2">
      <c r="A9" s="1">
        <v>1968</v>
      </c>
      <c r="B9" s="4">
        <v>123.47062251349999</v>
      </c>
      <c r="C9" s="4">
        <v>136.03600454029998</v>
      </c>
      <c r="D9" s="4">
        <v>138.18865416630001</v>
      </c>
      <c r="E9" s="4">
        <v>94.761997224499993</v>
      </c>
      <c r="F9" s="4">
        <v>70.094987535499996</v>
      </c>
      <c r="G9" s="4">
        <v>81.089183961299995</v>
      </c>
      <c r="H9" s="4">
        <v>41.691510116699995</v>
      </c>
      <c r="I9" s="4">
        <v>49.691559771499996</v>
      </c>
      <c r="J9" s="4">
        <v>81.089183961299995</v>
      </c>
      <c r="K9" s="4">
        <v>60.029304506699994</v>
      </c>
      <c r="L9" s="4">
        <v>53.420504386699996</v>
      </c>
      <c r="M9" s="4">
        <v>94.761997224499993</v>
      </c>
      <c r="N9" s="4">
        <v>41.691510116699995</v>
      </c>
    </row>
    <row r="10" spans="1:14" x14ac:dyDescent="0.2">
      <c r="A10" s="1">
        <v>1969</v>
      </c>
      <c r="B10" s="4">
        <v>100.18749595669999</v>
      </c>
      <c r="C10" s="4">
        <v>162.94337686669999</v>
      </c>
      <c r="D10" s="4">
        <v>199.7622350117</v>
      </c>
      <c r="E10" s="4">
        <v>172.42346991630001</v>
      </c>
      <c r="F10" s="4">
        <v>82.734265106699993</v>
      </c>
      <c r="G10" s="4">
        <v>81.089183961299995</v>
      </c>
      <c r="H10" s="4">
        <v>67.123345316699996</v>
      </c>
      <c r="I10" s="4">
        <v>52.157696691299996</v>
      </c>
      <c r="J10" s="4">
        <v>74.694405841699989</v>
      </c>
      <c r="K10" s="4">
        <v>38.56754422049999</v>
      </c>
      <c r="L10" s="4">
        <v>34.690871547299992</v>
      </c>
      <c r="M10" s="4">
        <v>141.16883288939999</v>
      </c>
      <c r="N10" s="4">
        <v>34.690871547299992</v>
      </c>
    </row>
    <row r="11" spans="1:14" x14ac:dyDescent="0.2">
      <c r="A11" s="1">
        <v>1970</v>
      </c>
      <c r="B11" s="4">
        <v>217.51465861920002</v>
      </c>
      <c r="C11" s="4">
        <v>190.11837898760001</v>
      </c>
      <c r="D11" s="4">
        <v>227.95729009760004</v>
      </c>
      <c r="E11" s="4">
        <v>252.38666954360002</v>
      </c>
      <c r="F11" s="4">
        <v>155.89549408760001</v>
      </c>
      <c r="G11" s="4">
        <v>100.0710213192</v>
      </c>
      <c r="H11" s="4">
        <v>65.579836676399992</v>
      </c>
      <c r="I11" s="4">
        <v>49.947987747599996</v>
      </c>
      <c r="J11" s="4">
        <v>32.94452708819999</v>
      </c>
      <c r="K11" s="4">
        <v>35.4027473676</v>
      </c>
      <c r="L11" s="4">
        <v>45.702622179199999</v>
      </c>
      <c r="M11" s="4">
        <v>45.702622179199999</v>
      </c>
      <c r="N11" s="4">
        <v>32.94452708819999</v>
      </c>
    </row>
    <row r="12" spans="1:14" x14ac:dyDescent="0.2">
      <c r="A12" s="1">
        <v>1971</v>
      </c>
      <c r="B12" s="4">
        <v>109.76419329149999</v>
      </c>
      <c r="C12" s="4">
        <v>145.12813875969999</v>
      </c>
      <c r="D12" s="4">
        <v>99.7053686247</v>
      </c>
      <c r="E12" s="4">
        <v>157.40534243650001</v>
      </c>
      <c r="F12" s="4">
        <v>70.015021236699994</v>
      </c>
      <c r="G12" s="4">
        <v>42.172591001499988</v>
      </c>
      <c r="H12" s="4">
        <v>24.098936083499993</v>
      </c>
      <c r="I12" s="4">
        <v>22.185650356499991</v>
      </c>
      <c r="J12" s="4">
        <v>28.322277980699987</v>
      </c>
      <c r="K12" s="4">
        <v>31.431844469499993</v>
      </c>
      <c r="L12" s="4">
        <v>40.235323855499999</v>
      </c>
      <c r="M12" s="4">
        <v>88.642140321299991</v>
      </c>
      <c r="N12" s="4">
        <v>22.185650356499991</v>
      </c>
    </row>
    <row r="13" spans="1:14" x14ac:dyDescent="0.2">
      <c r="A13" s="1">
        <v>1972</v>
      </c>
      <c r="B13" s="4">
        <v>56.971241062100006</v>
      </c>
      <c r="C13" s="4">
        <v>66.865491866100001</v>
      </c>
      <c r="D13" s="4">
        <v>64.313369872700008</v>
      </c>
      <c r="E13" s="4">
        <v>65.582774140500007</v>
      </c>
      <c r="F13" s="4">
        <v>80.445675013100015</v>
      </c>
      <c r="G13" s="4">
        <v>37.596291825500018</v>
      </c>
      <c r="H13" s="4">
        <v>35.672662268100005</v>
      </c>
      <c r="I13" s="4">
        <v>70.794469685700008</v>
      </c>
      <c r="J13" s="4">
        <v>103.53639837110001</v>
      </c>
      <c r="K13" s="4">
        <v>87.768057614100002</v>
      </c>
      <c r="L13" s="4">
        <v>84.795294226700008</v>
      </c>
      <c r="M13" s="4">
        <v>76.225221490100012</v>
      </c>
      <c r="N13" s="4">
        <v>35.672662268100005</v>
      </c>
    </row>
    <row r="14" spans="1:14" x14ac:dyDescent="0.2">
      <c r="A14" s="1">
        <v>1973</v>
      </c>
      <c r="B14" s="4">
        <v>58.16274676470001</v>
      </c>
      <c r="C14" s="4">
        <v>87.768057614100002</v>
      </c>
      <c r="D14" s="4">
        <v>134.01178459710002</v>
      </c>
      <c r="E14" s="4">
        <v>265.47708965710001</v>
      </c>
      <c r="F14" s="4">
        <v>77.617844903700004</v>
      </c>
      <c r="G14" s="4">
        <v>52.330801661700008</v>
      </c>
      <c r="H14" s="4">
        <v>32.86771899750002</v>
      </c>
      <c r="I14" s="4">
        <v>25.008710678100016</v>
      </c>
      <c r="J14" s="4">
        <v>33.792092465100012</v>
      </c>
      <c r="K14" s="4">
        <v>33.792092465100012</v>
      </c>
      <c r="L14" s="4">
        <v>46.805735863700008</v>
      </c>
      <c r="M14" s="4">
        <v>41.57575067070001</v>
      </c>
      <c r="N14" s="4">
        <v>25.008710678100016</v>
      </c>
    </row>
    <row r="15" spans="1:14" x14ac:dyDescent="0.2">
      <c r="A15" s="1">
        <v>1974</v>
      </c>
      <c r="B15" s="4">
        <v>106.87625710410001</v>
      </c>
      <c r="C15" s="4">
        <v>121.2042575121</v>
      </c>
      <c r="D15" s="4">
        <v>110.62953215730001</v>
      </c>
      <c r="E15" s="4">
        <v>87.966093880100004</v>
      </c>
      <c r="F15" s="4">
        <v>158.08971149480001</v>
      </c>
      <c r="G15" s="4">
        <v>95.7365376156</v>
      </c>
      <c r="H15" s="4">
        <v>56.869875594000007</v>
      </c>
      <c r="I15" s="4">
        <v>40.720107304500004</v>
      </c>
      <c r="J15" s="4">
        <v>39.759819481999997</v>
      </c>
      <c r="K15" s="4">
        <v>115.85236182600001</v>
      </c>
      <c r="L15" s="4">
        <v>126.68510937960001</v>
      </c>
      <c r="M15" s="4">
        <v>136.1061334641</v>
      </c>
      <c r="N15" s="4">
        <v>39.759819481999997</v>
      </c>
    </row>
    <row r="16" spans="1:14" x14ac:dyDescent="0.2">
      <c r="A16" s="1">
        <v>1975</v>
      </c>
      <c r="B16" s="4">
        <v>89.491379249999994</v>
      </c>
      <c r="C16" s="4">
        <v>72.139898194799997</v>
      </c>
      <c r="D16" s="4">
        <v>70.787799208100012</v>
      </c>
      <c r="E16" s="4">
        <v>119.40595839480001</v>
      </c>
      <c r="F16" s="4">
        <v>117.6219918101</v>
      </c>
      <c r="G16" s="4">
        <v>105.535878342</v>
      </c>
      <c r="H16" s="4">
        <v>53.378421597300004</v>
      </c>
      <c r="I16" s="4">
        <v>50.017607933999997</v>
      </c>
      <c r="J16" s="4">
        <v>34.304172935600008</v>
      </c>
      <c r="K16" s="4">
        <v>30.159067850100001</v>
      </c>
      <c r="L16" s="4">
        <v>53.378421597300004</v>
      </c>
      <c r="M16" s="4">
        <v>70.787799208100012</v>
      </c>
      <c r="N16" s="4">
        <v>30.159067850100001</v>
      </c>
    </row>
    <row r="17" spans="1:14" x14ac:dyDescent="0.2">
      <c r="A17" s="1">
        <v>1976</v>
      </c>
      <c r="B17" s="4">
        <v>74.887455818000007</v>
      </c>
      <c r="C17" s="4">
        <v>92.585163191600003</v>
      </c>
      <c r="D17" s="4">
        <v>105.535878342</v>
      </c>
      <c r="E17" s="4">
        <v>202.564804388</v>
      </c>
      <c r="F17" s="4">
        <v>122.1529071536</v>
      </c>
      <c r="G17" s="4">
        <v>91.598328000799995</v>
      </c>
      <c r="H17" s="4">
        <v>49.504281512900008</v>
      </c>
      <c r="I17" s="4">
        <v>81.122936521100002</v>
      </c>
      <c r="J17" s="4">
        <v>74.139015749599992</v>
      </c>
      <c r="K17" s="4">
        <v>52.547795076799993</v>
      </c>
      <c r="L17" s="4">
        <v>90.052584421700004</v>
      </c>
      <c r="M17" s="4">
        <v>151.41737365310001</v>
      </c>
      <c r="N17" s="4">
        <v>49.504281512900008</v>
      </c>
    </row>
    <row r="18" spans="1:14" x14ac:dyDescent="0.2">
      <c r="A18" s="1">
        <v>1977</v>
      </c>
      <c r="B18" s="4">
        <v>139.30984651489999</v>
      </c>
      <c r="C18" s="4">
        <v>207.35349118560001</v>
      </c>
      <c r="D18" s="4">
        <v>137.343501272</v>
      </c>
      <c r="E18" s="4">
        <v>157.667654924</v>
      </c>
      <c r="F18" s="4">
        <v>79.692632330399988</v>
      </c>
      <c r="G18" s="4">
        <v>53.598148168499996</v>
      </c>
      <c r="H18" s="4">
        <v>43.906046271500003</v>
      </c>
      <c r="I18" s="4">
        <v>44.793468734399994</v>
      </c>
      <c r="J18" s="4">
        <v>44.793468734399994</v>
      </c>
      <c r="K18" s="4">
        <v>68.856138759199993</v>
      </c>
      <c r="L18" s="4">
        <v>56.856000859199995</v>
      </c>
      <c r="M18" s="4">
        <v>106.5433643846</v>
      </c>
      <c r="N18" s="4">
        <v>43.906046271500003</v>
      </c>
    </row>
    <row r="19" spans="1:14" x14ac:dyDescent="0.2">
      <c r="A19" s="1">
        <v>1978</v>
      </c>
      <c r="B19" s="4">
        <v>145.4994127928</v>
      </c>
      <c r="C19" s="4">
        <v>145.4994127928</v>
      </c>
      <c r="D19" s="4">
        <v>211.5764262962</v>
      </c>
      <c r="E19" s="4">
        <v>199.40640162969999</v>
      </c>
      <c r="F19" s="4">
        <v>234.06810725510002</v>
      </c>
      <c r="G19" s="4">
        <v>153.8253246996</v>
      </c>
      <c r="H19" s="4">
        <v>79.018898913800001</v>
      </c>
      <c r="I19" s="4">
        <v>47.610282739799999</v>
      </c>
      <c r="J19" s="4">
        <v>72.251822662799981</v>
      </c>
      <c r="K19" s="4">
        <v>64.604401057800004</v>
      </c>
      <c r="L19" s="4">
        <v>41.606998254600001</v>
      </c>
      <c r="M19" s="4">
        <v>44.554538933999993</v>
      </c>
      <c r="N19" s="4">
        <v>41.606998254600001</v>
      </c>
    </row>
    <row r="20" spans="1:14" x14ac:dyDescent="0.2">
      <c r="A20" s="1">
        <v>1979</v>
      </c>
      <c r="B20" s="4">
        <v>141.44885594580001</v>
      </c>
      <c r="C20" s="4">
        <v>155.95420571379998</v>
      </c>
      <c r="D20" s="4">
        <v>116.8863752498</v>
      </c>
      <c r="E20" s="4">
        <v>129.73740000000001</v>
      </c>
      <c r="F20" s="4">
        <v>92.143815111799995</v>
      </c>
      <c r="G20" s="4">
        <v>67.097372516000007</v>
      </c>
      <c r="H20" s="4">
        <v>52.950807150799989</v>
      </c>
      <c r="I20" s="4">
        <v>41.606998254600001</v>
      </c>
      <c r="J20" s="4">
        <v>34.255816145799983</v>
      </c>
      <c r="K20" s="4">
        <v>45.560967329799993</v>
      </c>
      <c r="L20" s="4">
        <v>137.83632118119999</v>
      </c>
      <c r="M20" s="4">
        <v>88.908657476799988</v>
      </c>
      <c r="N20" s="4">
        <v>34.255816145799983</v>
      </c>
    </row>
    <row r="21" spans="1:14" x14ac:dyDescent="0.2">
      <c r="A21" s="1">
        <v>1980</v>
      </c>
      <c r="B21" s="4">
        <v>132.5187607156</v>
      </c>
      <c r="C21" s="4">
        <v>123.93855787159998</v>
      </c>
      <c r="D21" s="4">
        <v>122.26458601899998</v>
      </c>
      <c r="E21" s="4">
        <v>226.13467378659999</v>
      </c>
      <c r="F21" s="4">
        <v>253.70937500439999</v>
      </c>
      <c r="G21" s="4">
        <v>103.25557978179998</v>
      </c>
      <c r="H21" s="4">
        <v>59.814856055199982</v>
      </c>
      <c r="I21" s="4">
        <v>39.461340523399997</v>
      </c>
      <c r="J21" s="4">
        <v>32.793431661799985</v>
      </c>
      <c r="K21" s="4">
        <v>33.488047244199976</v>
      </c>
      <c r="L21" s="4">
        <v>53.680288361799981</v>
      </c>
      <c r="M21" s="4">
        <v>145.16767590629999</v>
      </c>
      <c r="N21" s="4">
        <v>32.793431661799985</v>
      </c>
    </row>
    <row r="22" spans="1:14" x14ac:dyDescent="0.2">
      <c r="A22" s="1">
        <v>1981</v>
      </c>
      <c r="B22" s="4">
        <v>103.66135331429999</v>
      </c>
      <c r="C22" s="4">
        <v>103.66135331429999</v>
      </c>
      <c r="D22" s="4">
        <v>148.48335836429999</v>
      </c>
      <c r="E22" s="4">
        <v>158.75274477990001</v>
      </c>
      <c r="F22" s="4">
        <v>123.34355918349999</v>
      </c>
      <c r="G22" s="4">
        <v>95.783627287499968</v>
      </c>
      <c r="H22" s="4">
        <v>52.413594603999996</v>
      </c>
      <c r="I22" s="4">
        <v>36.296373071499971</v>
      </c>
      <c r="J22" s="4">
        <v>43.773189323999958</v>
      </c>
      <c r="K22" s="4">
        <v>52.413594603999996</v>
      </c>
      <c r="L22" s="4">
        <v>65.721083379999982</v>
      </c>
      <c r="M22" s="4">
        <v>123.34355918349999</v>
      </c>
      <c r="N22" s="4">
        <v>36.296373071499971</v>
      </c>
    </row>
    <row r="23" spans="1:14" x14ac:dyDescent="0.2">
      <c r="A23" s="1">
        <v>1982</v>
      </c>
      <c r="B23" s="4">
        <v>88.195356114299997</v>
      </c>
      <c r="C23" s="4">
        <v>64.591197858299978</v>
      </c>
      <c r="D23" s="4">
        <v>69.137902181499982</v>
      </c>
      <c r="E23" s="4">
        <v>155.2747377195</v>
      </c>
      <c r="F23" s="4">
        <v>114.6691549303</v>
      </c>
      <c r="G23" s="4">
        <v>62.344141621899979</v>
      </c>
      <c r="H23" s="4">
        <v>44.846323164299974</v>
      </c>
      <c r="I23" s="4">
        <v>36.296373071499971</v>
      </c>
      <c r="J23" s="4">
        <v>23.512232164299945</v>
      </c>
      <c r="K23" s="4">
        <v>23.512232164299945</v>
      </c>
      <c r="L23" s="4">
        <v>36.296373071499971</v>
      </c>
      <c r="M23" s="4">
        <v>45.921144468399973</v>
      </c>
      <c r="N23" s="4">
        <v>23.512232164299945</v>
      </c>
    </row>
    <row r="24" spans="1:14" x14ac:dyDescent="0.2">
      <c r="A24" s="1">
        <v>1983</v>
      </c>
      <c r="B24" s="4">
        <v>98.375834203899984</v>
      </c>
      <c r="C24" s="4">
        <v>110.46973637679999</v>
      </c>
      <c r="D24" s="4">
        <v>113.25947945399999</v>
      </c>
      <c r="E24" s="4">
        <v>126.32091209189998</v>
      </c>
      <c r="F24" s="4">
        <v>61.22668213679998</v>
      </c>
      <c r="G24" s="4">
        <v>45.921144468399973</v>
      </c>
      <c r="H24" s="4">
        <v>43.773189323999958</v>
      </c>
      <c r="I24" s="4">
        <v>33.10289668599998</v>
      </c>
      <c r="J24" s="4">
        <v>32.038795524299957</v>
      </c>
      <c r="K24" s="4">
        <v>32.038795524299957</v>
      </c>
      <c r="L24" s="4">
        <v>35.231541074399985</v>
      </c>
      <c r="M24" s="4">
        <v>76.10676451629999</v>
      </c>
      <c r="N24" s="4">
        <v>32.038795524299957</v>
      </c>
    </row>
    <row r="25" spans="1:14" x14ac:dyDescent="0.2">
      <c r="A25" s="1">
        <v>1984</v>
      </c>
      <c r="B25" s="4">
        <v>105.00463893839999</v>
      </c>
      <c r="C25" s="4">
        <v>126.32091209189998</v>
      </c>
      <c r="D25" s="4">
        <v>217.7255244159</v>
      </c>
      <c r="E25" s="4">
        <v>230.89983373410001</v>
      </c>
      <c r="F25" s="4">
        <v>135.5267964315</v>
      </c>
      <c r="G25" s="4">
        <v>84.500020096799972</v>
      </c>
      <c r="H25" s="4">
        <v>53.504270940299961</v>
      </c>
      <c r="I25" s="4">
        <v>52.413594603999996</v>
      </c>
      <c r="J25" s="4">
        <v>38.427778597499952</v>
      </c>
      <c r="K25" s="4">
        <v>71.439860431499994</v>
      </c>
      <c r="L25" s="4">
        <v>53.504270940299961</v>
      </c>
      <c r="M25" s="4">
        <v>50.240192026799974</v>
      </c>
      <c r="N25" s="4">
        <v>38.427778597499952</v>
      </c>
    </row>
    <row r="26" spans="1:14" x14ac:dyDescent="0.2">
      <c r="A26" s="1">
        <v>1985</v>
      </c>
      <c r="B26" s="4">
        <v>40.562468733899976</v>
      </c>
      <c r="C26" s="4">
        <v>85.724865309899968</v>
      </c>
      <c r="D26" s="4">
        <v>99.684359243999992</v>
      </c>
      <c r="E26" s="4">
        <v>190.7102872888</v>
      </c>
      <c r="F26" s="4">
        <v>93.223582021499993</v>
      </c>
      <c r="G26" s="4">
        <v>66.855399684299982</v>
      </c>
      <c r="H26" s="4">
        <v>33.10289668599998</v>
      </c>
      <c r="I26" s="4">
        <v>26.714724632799943</v>
      </c>
      <c r="J26" s="4">
        <v>34.16709707429996</v>
      </c>
      <c r="K26" s="4">
        <v>25.648186741499984</v>
      </c>
      <c r="L26" s="4">
        <v>59.003178506799969</v>
      </c>
      <c r="M26" s="4">
        <v>80.865352591499985</v>
      </c>
      <c r="N26" s="4">
        <v>25.648186741499984</v>
      </c>
    </row>
    <row r="27" spans="1:14" x14ac:dyDescent="0.2">
      <c r="A27" s="1">
        <v>1986</v>
      </c>
      <c r="B27" s="4">
        <v>116.08889221199999</v>
      </c>
      <c r="C27" s="4">
        <v>98.375834203899984</v>
      </c>
      <c r="D27" s="4">
        <v>148.48335836429999</v>
      </c>
      <c r="E27" s="4">
        <v>177.01215717389999</v>
      </c>
      <c r="F27" s="4">
        <v>120.40991874149999</v>
      </c>
      <c r="G27" s="4">
        <v>113.25947945399999</v>
      </c>
      <c r="H27" s="4">
        <v>99.684359243999992</v>
      </c>
      <c r="I27" s="4">
        <v>51.325616427899973</v>
      </c>
      <c r="J27" s="4">
        <v>40.562468733899976</v>
      </c>
      <c r="K27" s="4">
        <v>28.845643546799977</v>
      </c>
      <c r="L27" s="4">
        <v>44.846323164299974</v>
      </c>
      <c r="M27" s="4">
        <v>42.701598562299949</v>
      </c>
      <c r="N27" s="4">
        <v>28.845643546799977</v>
      </c>
    </row>
    <row r="28" spans="1:14" x14ac:dyDescent="0.2">
      <c r="A28" s="1">
        <v>1987</v>
      </c>
      <c r="B28" s="4">
        <v>59.003178506799969</v>
      </c>
      <c r="C28" s="4">
        <v>111.85972139789999</v>
      </c>
      <c r="D28" s="4">
        <v>94.499656640799998</v>
      </c>
      <c r="E28" s="4">
        <v>194.77090522680001</v>
      </c>
      <c r="F28" s="4">
        <v>177.01215717389999</v>
      </c>
      <c r="G28" s="4">
        <v>84.500020096799972</v>
      </c>
      <c r="H28" s="4">
        <v>38.427778597499952</v>
      </c>
      <c r="I28" s="4">
        <v>37.361737450799978</v>
      </c>
      <c r="J28" s="4">
        <v>28.845643546799977</v>
      </c>
      <c r="K28" s="4">
        <v>27.780495439499987</v>
      </c>
      <c r="L28" s="4">
        <v>23.512232164299945</v>
      </c>
      <c r="M28" s="4">
        <v>99.684359243999992</v>
      </c>
      <c r="N28" s="4">
        <v>23.512232164299945</v>
      </c>
    </row>
    <row r="29" spans="1:14" x14ac:dyDescent="0.2">
      <c r="A29" s="1">
        <v>1988</v>
      </c>
      <c r="B29" s="4">
        <v>82.070408122799989</v>
      </c>
      <c r="C29" s="4">
        <v>97.075638346799977</v>
      </c>
      <c r="D29" s="4">
        <v>140.2909125768</v>
      </c>
      <c r="E29" s="4">
        <v>165.87916907429999</v>
      </c>
      <c r="F29" s="4">
        <v>95.783627287499968</v>
      </c>
      <c r="G29" s="4">
        <v>73.762429515899981</v>
      </c>
      <c r="H29" s="4">
        <v>30.974649203999974</v>
      </c>
      <c r="I29" s="4">
        <v>25.648186741499984</v>
      </c>
      <c r="J29" s="4">
        <v>25.648186741499984</v>
      </c>
      <c r="K29" s="4">
        <v>34.16709707429996</v>
      </c>
      <c r="L29" s="4">
        <v>35.231541074399985</v>
      </c>
      <c r="M29" s="4">
        <v>72.598496426799983</v>
      </c>
      <c r="N29" s="4">
        <v>25.648186741499984</v>
      </c>
    </row>
    <row r="30" spans="1:14" x14ac:dyDescent="0.2">
      <c r="A30" s="1">
        <v>1989</v>
      </c>
      <c r="B30" s="4">
        <v>41.631406493999975</v>
      </c>
      <c r="C30" s="4">
        <v>25.648186741499984</v>
      </c>
      <c r="D30" s="4">
        <v>94.499656640799998</v>
      </c>
      <c r="E30" s="4">
        <v>67.994291156399953</v>
      </c>
      <c r="F30" s="4">
        <v>109.08938000549998</v>
      </c>
      <c r="G30" s="4">
        <v>93.223582021499993</v>
      </c>
      <c r="H30" s="4">
        <v>72.598496426799983</v>
      </c>
      <c r="I30" s="4">
        <v>66.855399684299982</v>
      </c>
      <c r="J30" s="4">
        <v>71.439860431499994</v>
      </c>
      <c r="K30" s="4">
        <v>89.441290476000006</v>
      </c>
      <c r="L30" s="4">
        <v>83.281915829499994</v>
      </c>
      <c r="M30" s="4">
        <v>61.22668213679998</v>
      </c>
      <c r="N30" s="4">
        <v>25.648186741499984</v>
      </c>
    </row>
    <row r="31" spans="1:14" x14ac:dyDescent="0.2">
      <c r="A31" s="1">
        <v>1990</v>
      </c>
      <c r="B31" s="4">
        <v>55.694295634299976</v>
      </c>
      <c r="C31" s="4">
        <v>62.344141621899979</v>
      </c>
      <c r="D31" s="4">
        <v>59.003178506799969</v>
      </c>
      <c r="E31" s="4">
        <v>88.195356114299997</v>
      </c>
      <c r="F31" s="4">
        <v>54.597789821999953</v>
      </c>
      <c r="G31" s="4">
        <v>40.562468733899976</v>
      </c>
      <c r="H31" s="4">
        <v>25.648186741499984</v>
      </c>
      <c r="I31" s="4">
        <v>17.0709423415</v>
      </c>
      <c r="J31" s="4">
        <v>17.0709423415</v>
      </c>
      <c r="K31" s="4">
        <v>17.0709423415</v>
      </c>
      <c r="L31" s="4">
        <v>36.296373071499971</v>
      </c>
      <c r="M31" s="4">
        <v>73.762429515899981</v>
      </c>
      <c r="N31" s="4">
        <v>17.0709423415</v>
      </c>
    </row>
    <row r="32" spans="1:14" x14ac:dyDescent="0.2">
      <c r="A32" s="1">
        <v>1991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4">
        <v>29.070552728091293</v>
      </c>
    </row>
    <row r="33" spans="1:14" x14ac:dyDescent="0.2">
      <c r="A33" s="1">
        <v>1992</v>
      </c>
      <c r="B33" s="5"/>
      <c r="C33" s="5"/>
      <c r="D33" s="5"/>
      <c r="E33" s="5"/>
      <c r="F33" s="5"/>
      <c r="G33" s="5"/>
      <c r="H33" s="4">
        <v>59.8</v>
      </c>
      <c r="I33" s="4">
        <v>33.299999999999997</v>
      </c>
      <c r="J33" s="4">
        <v>34.9</v>
      </c>
      <c r="K33" s="4">
        <v>34.9</v>
      </c>
      <c r="L33" s="4">
        <v>72</v>
      </c>
      <c r="M33" s="4">
        <v>125</v>
      </c>
      <c r="N33" s="4"/>
    </row>
    <row r="34" spans="1:14" x14ac:dyDescent="0.2">
      <c r="A34" s="1">
        <v>1993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">
        <v>29.070552728091293</v>
      </c>
    </row>
    <row r="35" spans="1:14" x14ac:dyDescent="0.2">
      <c r="A35" s="1">
        <v>1994</v>
      </c>
      <c r="B35" s="5"/>
      <c r="C35" s="4">
        <v>189</v>
      </c>
      <c r="D35" s="4">
        <v>160</v>
      </c>
      <c r="E35" s="4">
        <v>142</v>
      </c>
      <c r="F35" s="4">
        <v>107</v>
      </c>
      <c r="G35" s="4">
        <v>92.2</v>
      </c>
      <c r="H35" s="4">
        <v>76</v>
      </c>
      <c r="I35" s="4">
        <v>30</v>
      </c>
      <c r="J35" s="4">
        <v>27.6</v>
      </c>
      <c r="K35" s="4">
        <v>130</v>
      </c>
      <c r="L35" s="4">
        <v>189</v>
      </c>
      <c r="M35" s="4">
        <v>238</v>
      </c>
      <c r="N35" s="4">
        <v>27.6</v>
      </c>
    </row>
    <row r="36" spans="1:14" x14ac:dyDescent="0.2">
      <c r="A36" s="1">
        <v>1995</v>
      </c>
      <c r="B36" s="6">
        <v>276</v>
      </c>
      <c r="C36" s="6">
        <v>281</v>
      </c>
      <c r="D36" s="6">
        <v>272</v>
      </c>
      <c r="E36" s="6">
        <v>356</v>
      </c>
      <c r="F36" s="6">
        <v>189</v>
      </c>
      <c r="G36" s="6">
        <v>215</v>
      </c>
      <c r="H36" s="6">
        <v>165</v>
      </c>
      <c r="I36" s="6">
        <v>169</v>
      </c>
      <c r="J36" s="6">
        <v>256</v>
      </c>
      <c r="K36" s="6">
        <v>156</v>
      </c>
      <c r="L36" s="6">
        <v>151</v>
      </c>
      <c r="M36" s="6">
        <v>314</v>
      </c>
      <c r="N36" s="4">
        <v>26.701165985362849</v>
      </c>
    </row>
    <row r="37" spans="1:14" x14ac:dyDescent="0.2">
      <c r="A37" s="1">
        <v>1996</v>
      </c>
      <c r="B37" s="2">
        <v>358</v>
      </c>
      <c r="C37" s="2">
        <v>215</v>
      </c>
      <c r="D37" s="2">
        <v>88</v>
      </c>
      <c r="E37" s="2">
        <v>256</v>
      </c>
      <c r="F37" s="2">
        <v>101</v>
      </c>
      <c r="G37" s="2">
        <v>50.8</v>
      </c>
      <c r="H37" s="2">
        <v>30.8</v>
      </c>
      <c r="I37" s="2">
        <v>31.6</v>
      </c>
      <c r="J37" s="2">
        <v>49.6</v>
      </c>
      <c r="K37" s="2">
        <v>140</v>
      </c>
      <c r="L37" s="2">
        <v>101</v>
      </c>
      <c r="M37" s="2">
        <v>181</v>
      </c>
      <c r="N37" s="4">
        <v>30.8</v>
      </c>
    </row>
    <row r="38" spans="1:14" x14ac:dyDescent="0.2">
      <c r="A38" s="1">
        <v>1997</v>
      </c>
      <c r="B38" s="2">
        <v>176</v>
      </c>
      <c r="C38" s="2">
        <v>120</v>
      </c>
      <c r="D38" s="2">
        <v>127</v>
      </c>
      <c r="E38" s="2">
        <v>132</v>
      </c>
      <c r="F38" s="2">
        <v>107</v>
      </c>
      <c r="G38" s="2">
        <v>55.3</v>
      </c>
      <c r="H38" s="2">
        <v>46.4</v>
      </c>
      <c r="I38" s="2">
        <v>45.4</v>
      </c>
      <c r="J38" s="2">
        <v>33.299999999999997</v>
      </c>
      <c r="K38" s="2">
        <v>33.299999999999997</v>
      </c>
      <c r="L38" s="2">
        <v>64.7</v>
      </c>
      <c r="M38" s="2">
        <v>117</v>
      </c>
      <c r="N38" s="4">
        <v>33.299999999999997</v>
      </c>
    </row>
    <row r="39" spans="1:14" x14ac:dyDescent="0.2">
      <c r="A39" s="1">
        <v>1998</v>
      </c>
      <c r="B39" s="2">
        <v>122</v>
      </c>
      <c r="C39" s="2">
        <v>110</v>
      </c>
      <c r="D39" s="2">
        <v>99.2</v>
      </c>
      <c r="E39" s="2">
        <v>114</v>
      </c>
      <c r="F39" s="2">
        <v>82.6</v>
      </c>
      <c r="G39" s="2">
        <v>58.7</v>
      </c>
      <c r="H39" s="2">
        <v>34.9</v>
      </c>
      <c r="I39" s="2">
        <v>27.6</v>
      </c>
      <c r="J39" s="2">
        <v>30.8</v>
      </c>
      <c r="K39" s="2">
        <v>107</v>
      </c>
      <c r="L39" s="2">
        <v>145</v>
      </c>
      <c r="M39" s="2">
        <v>116</v>
      </c>
      <c r="N39" s="4">
        <v>27.6</v>
      </c>
    </row>
    <row r="40" spans="1:14" x14ac:dyDescent="0.2">
      <c r="A40" s="1">
        <v>1999</v>
      </c>
      <c r="B40" s="2">
        <v>101</v>
      </c>
      <c r="C40" s="2">
        <v>119</v>
      </c>
      <c r="D40" s="2">
        <v>213</v>
      </c>
      <c r="E40" s="2">
        <v>241</v>
      </c>
      <c r="F40" s="2">
        <v>110</v>
      </c>
      <c r="G40" s="2">
        <v>74.599999999999994</v>
      </c>
      <c r="H40" s="2">
        <v>68.3</v>
      </c>
      <c r="I40" s="2">
        <v>37.4</v>
      </c>
      <c r="J40" s="2">
        <v>46.4</v>
      </c>
      <c r="K40" s="2">
        <v>41.3</v>
      </c>
      <c r="L40" s="2">
        <v>42.3</v>
      </c>
      <c r="M40" s="2">
        <v>151</v>
      </c>
      <c r="N40" s="4">
        <v>37.4</v>
      </c>
    </row>
    <row r="41" spans="1:14" x14ac:dyDescent="0.2">
      <c r="A41" s="1">
        <v>2000</v>
      </c>
      <c r="B41" s="2">
        <v>97.8</v>
      </c>
      <c r="C41" s="2">
        <v>151</v>
      </c>
      <c r="D41" s="2">
        <v>172</v>
      </c>
      <c r="E41" s="2">
        <v>147</v>
      </c>
      <c r="F41" s="2">
        <v>70.8</v>
      </c>
      <c r="G41" s="2">
        <v>41.3</v>
      </c>
      <c r="H41" s="2">
        <v>29.4</v>
      </c>
      <c r="I41" s="2">
        <v>23.6</v>
      </c>
      <c r="J41" s="2">
        <v>25.2</v>
      </c>
      <c r="K41" s="2">
        <v>24.6</v>
      </c>
      <c r="L41" s="2">
        <v>27</v>
      </c>
      <c r="M41" s="2">
        <v>49.6</v>
      </c>
      <c r="N41" s="4">
        <v>23.6</v>
      </c>
    </row>
    <row r="42" spans="1:14" x14ac:dyDescent="0.2">
      <c r="A42" s="1">
        <v>2001</v>
      </c>
      <c r="B42" s="2">
        <v>95</v>
      </c>
      <c r="C42" s="2">
        <v>107</v>
      </c>
      <c r="D42" s="2">
        <v>140</v>
      </c>
      <c r="E42" s="2">
        <v>132</v>
      </c>
      <c r="F42" s="2">
        <v>107</v>
      </c>
      <c r="G42" s="2">
        <v>107</v>
      </c>
      <c r="H42" s="2">
        <v>67.099999999999994</v>
      </c>
      <c r="I42" s="2">
        <v>42.3</v>
      </c>
      <c r="J42" s="2">
        <v>48.5</v>
      </c>
      <c r="K42" s="2">
        <v>72</v>
      </c>
      <c r="L42" s="2">
        <v>57.5</v>
      </c>
      <c r="M42" s="2">
        <v>95</v>
      </c>
      <c r="N42" s="4">
        <v>42.3</v>
      </c>
    </row>
    <row r="43" spans="1:14" x14ac:dyDescent="0.2">
      <c r="A43" s="1">
        <v>2002</v>
      </c>
      <c r="B43" s="2">
        <v>79.900000000000006</v>
      </c>
      <c r="C43" s="2">
        <v>167</v>
      </c>
      <c r="D43" s="2">
        <v>114</v>
      </c>
      <c r="E43" s="2">
        <v>128</v>
      </c>
      <c r="F43" s="2">
        <v>130</v>
      </c>
      <c r="G43" s="2">
        <v>68.3</v>
      </c>
      <c r="H43" s="2">
        <v>43.4</v>
      </c>
      <c r="I43" s="2">
        <v>45.4</v>
      </c>
      <c r="J43" s="2">
        <v>40.299999999999997</v>
      </c>
      <c r="K43" s="2">
        <v>104</v>
      </c>
      <c r="L43" s="2">
        <v>108</v>
      </c>
      <c r="M43" s="2">
        <v>110</v>
      </c>
      <c r="N43" s="4">
        <v>40.299999999999997</v>
      </c>
    </row>
    <row r="44" spans="1:14" x14ac:dyDescent="0.2">
      <c r="A44" s="1">
        <v>2003</v>
      </c>
      <c r="B44" s="2">
        <v>142</v>
      </c>
      <c r="C44" s="2">
        <v>102</v>
      </c>
      <c r="D44" s="2">
        <v>120</v>
      </c>
      <c r="E44" s="2">
        <v>107</v>
      </c>
      <c r="F44" s="2">
        <v>82.6</v>
      </c>
      <c r="G44" s="2">
        <v>56.4</v>
      </c>
      <c r="H44" s="2">
        <v>51.9</v>
      </c>
      <c r="I44" s="2">
        <v>21.6</v>
      </c>
      <c r="J44" s="2">
        <v>21.6</v>
      </c>
      <c r="K44" s="2">
        <v>30.8</v>
      </c>
      <c r="L44" s="2">
        <v>63.5</v>
      </c>
      <c r="M44" s="2">
        <v>51.9</v>
      </c>
      <c r="N44" s="4">
        <v>21.6</v>
      </c>
    </row>
    <row r="45" spans="1:14" x14ac:dyDescent="0.2">
      <c r="A45" s="1">
        <v>2004</v>
      </c>
      <c r="B45" s="2">
        <v>90.8</v>
      </c>
      <c r="C45" s="2">
        <v>193</v>
      </c>
      <c r="D45" s="2">
        <v>181</v>
      </c>
      <c r="E45" s="2">
        <v>156</v>
      </c>
      <c r="F45" s="2">
        <v>130</v>
      </c>
      <c r="G45" s="2">
        <v>104</v>
      </c>
      <c r="H45" s="2">
        <v>45.4</v>
      </c>
      <c r="I45" s="2">
        <v>42.3</v>
      </c>
      <c r="J45" s="2">
        <v>23.2</v>
      </c>
      <c r="K45" s="2">
        <v>37.4</v>
      </c>
      <c r="L45" s="2">
        <v>39.200000000000003</v>
      </c>
      <c r="M45" s="2">
        <v>119</v>
      </c>
      <c r="N45" s="4">
        <v>23.2</v>
      </c>
    </row>
    <row r="46" spans="1:14" x14ac:dyDescent="0.2">
      <c r="A46" s="1">
        <v>2005</v>
      </c>
      <c r="B46" s="2">
        <v>81.2</v>
      </c>
      <c r="C46" s="2">
        <v>64.7</v>
      </c>
      <c r="D46" s="2">
        <v>132</v>
      </c>
      <c r="E46" s="2">
        <v>272</v>
      </c>
      <c r="F46" s="2">
        <v>125</v>
      </c>
      <c r="G46" s="2">
        <v>96.4</v>
      </c>
      <c r="H46" s="2">
        <v>78.599999999999994</v>
      </c>
      <c r="I46" s="2">
        <v>59.8</v>
      </c>
      <c r="J46" s="2">
        <v>54.2</v>
      </c>
      <c r="K46" s="2">
        <v>50.8</v>
      </c>
      <c r="L46" s="2">
        <v>43.4</v>
      </c>
      <c r="M46" s="2">
        <v>128</v>
      </c>
      <c r="N46" s="4">
        <v>43.4</v>
      </c>
    </row>
    <row r="47" spans="1:14" x14ac:dyDescent="0.2">
      <c r="A47" s="1">
        <v>2006</v>
      </c>
      <c r="B47" s="2">
        <v>99.2</v>
      </c>
      <c r="C47" s="2">
        <v>85.2</v>
      </c>
      <c r="D47" s="2">
        <v>187</v>
      </c>
      <c r="E47" s="2">
        <v>225</v>
      </c>
      <c r="F47" s="2">
        <v>89.4</v>
      </c>
      <c r="G47" s="2">
        <v>74.599999999999994</v>
      </c>
      <c r="H47" s="2">
        <v>43.4</v>
      </c>
      <c r="I47" s="2">
        <v>37.5</v>
      </c>
      <c r="J47" s="2">
        <v>36.6</v>
      </c>
      <c r="K47" s="2">
        <v>28.2</v>
      </c>
      <c r="L47" s="2">
        <v>40.299999999999997</v>
      </c>
      <c r="M47" s="2">
        <v>38.200000000000003</v>
      </c>
      <c r="N47" s="4">
        <v>28.2</v>
      </c>
    </row>
    <row r="48" spans="1:14" x14ac:dyDescent="0.2">
      <c r="A48" s="1">
        <v>2007</v>
      </c>
      <c r="B48" s="2">
        <v>51.9</v>
      </c>
      <c r="C48" s="2">
        <v>88</v>
      </c>
      <c r="D48" s="2">
        <v>108</v>
      </c>
      <c r="E48" s="2">
        <v>65.900000000000006</v>
      </c>
      <c r="F48" s="2">
        <v>54.2</v>
      </c>
      <c r="G48" s="2">
        <v>40.299999999999997</v>
      </c>
      <c r="H48" s="2">
        <v>21.6</v>
      </c>
      <c r="I48" s="2">
        <v>19.8</v>
      </c>
      <c r="J48" s="2">
        <v>20</v>
      </c>
      <c r="K48" s="2">
        <v>19.600000000000001</v>
      </c>
      <c r="L48" s="2">
        <v>128</v>
      </c>
      <c r="M48" s="2">
        <v>49.6</v>
      </c>
      <c r="N48" s="4">
        <v>19.600000000000001</v>
      </c>
    </row>
    <row r="49" spans="1:14" x14ac:dyDescent="0.2">
      <c r="A49" s="1">
        <v>2008</v>
      </c>
      <c r="B49" s="2">
        <v>63.5</v>
      </c>
      <c r="C49" s="2">
        <v>50.8</v>
      </c>
      <c r="D49" s="2">
        <v>59.8</v>
      </c>
      <c r="E49" s="2">
        <v>124</v>
      </c>
      <c r="F49" s="2">
        <v>53</v>
      </c>
      <c r="G49" s="2">
        <v>28.2</v>
      </c>
      <c r="H49" s="2">
        <v>23.6</v>
      </c>
      <c r="I49" s="2">
        <v>22.4</v>
      </c>
      <c r="J49" s="2">
        <v>20</v>
      </c>
      <c r="K49" s="2">
        <v>25.8</v>
      </c>
      <c r="L49" s="2">
        <v>25.2</v>
      </c>
      <c r="M49" s="2">
        <v>97.8</v>
      </c>
      <c r="N49" s="4">
        <v>20</v>
      </c>
    </row>
    <row r="50" spans="1:14" x14ac:dyDescent="0.2">
      <c r="A50" s="1">
        <v>2009</v>
      </c>
      <c r="B50" s="2">
        <v>51.9</v>
      </c>
      <c r="C50" s="2">
        <v>113</v>
      </c>
      <c r="D50" s="2">
        <v>161</v>
      </c>
      <c r="E50" s="2">
        <v>108</v>
      </c>
      <c r="F50" s="2">
        <v>47.5</v>
      </c>
      <c r="G50" s="2">
        <v>43.4</v>
      </c>
      <c r="H50" s="2">
        <v>33.299999999999997</v>
      </c>
      <c r="I50" s="2">
        <v>23.6</v>
      </c>
      <c r="J50" s="2">
        <v>20.399999999999999</v>
      </c>
      <c r="K50" s="2">
        <v>20</v>
      </c>
      <c r="L50" s="2">
        <v>41.3</v>
      </c>
      <c r="M50" s="2">
        <v>85.2</v>
      </c>
      <c r="N50" s="4">
        <v>20</v>
      </c>
    </row>
    <row r="51" spans="1:14" x14ac:dyDescent="0.2">
      <c r="A51" s="1">
        <v>2010</v>
      </c>
      <c r="B51" s="2">
        <v>87.8</v>
      </c>
      <c r="C51" s="2">
        <v>89.4</v>
      </c>
      <c r="D51" s="2">
        <v>183</v>
      </c>
      <c r="E51" s="2">
        <v>142</v>
      </c>
      <c r="F51" s="2">
        <v>81.2</v>
      </c>
      <c r="G51" s="2">
        <v>72</v>
      </c>
      <c r="H51" s="2">
        <v>55.3</v>
      </c>
      <c r="I51" s="2">
        <v>30</v>
      </c>
      <c r="J51" s="2">
        <v>29.4</v>
      </c>
      <c r="K51" s="2">
        <v>36.6</v>
      </c>
      <c r="L51" s="2">
        <v>45.4</v>
      </c>
      <c r="M51" s="2">
        <v>110</v>
      </c>
      <c r="N51" s="4">
        <v>29.4</v>
      </c>
    </row>
    <row r="52" spans="1:14" x14ac:dyDescent="0.2">
      <c r="A52" s="1">
        <v>2011</v>
      </c>
      <c r="B52" s="2">
        <v>54.2</v>
      </c>
      <c r="C52" s="2">
        <v>64.7</v>
      </c>
      <c r="D52" s="2">
        <v>59.8</v>
      </c>
      <c r="E52" s="2">
        <v>74.599999999999994</v>
      </c>
      <c r="F52" s="2">
        <v>78.599999999999994</v>
      </c>
      <c r="G52" s="2">
        <v>41.3</v>
      </c>
      <c r="H52" s="2">
        <v>23.2</v>
      </c>
      <c r="I52" s="2">
        <v>19.600000000000001</v>
      </c>
      <c r="J52" s="2">
        <v>18.600000000000001</v>
      </c>
      <c r="K52" s="2">
        <v>19</v>
      </c>
      <c r="L52" s="2">
        <v>19</v>
      </c>
      <c r="M52" s="2">
        <v>19.600000000000001</v>
      </c>
      <c r="N52" s="4">
        <v>18.600000000000001</v>
      </c>
    </row>
    <row r="53" spans="1:14" x14ac:dyDescent="0.2">
      <c r="A53" s="1">
        <v>2012</v>
      </c>
      <c r="B53" s="2">
        <v>25.8</v>
      </c>
      <c r="C53" s="2">
        <v>64.7</v>
      </c>
      <c r="D53" s="2">
        <v>116</v>
      </c>
      <c r="E53" s="2">
        <v>122</v>
      </c>
      <c r="F53" s="2">
        <v>79.900000000000006</v>
      </c>
      <c r="G53" s="2">
        <v>28.8</v>
      </c>
      <c r="H53" s="2">
        <v>21.2</v>
      </c>
      <c r="I53" s="2">
        <v>17.8</v>
      </c>
      <c r="J53" s="2">
        <v>17.8</v>
      </c>
      <c r="K53" s="2">
        <v>18.600000000000001</v>
      </c>
      <c r="L53" s="2">
        <v>19.8</v>
      </c>
      <c r="M53" s="2">
        <v>29.4</v>
      </c>
      <c r="N53" s="4">
        <v>17.8</v>
      </c>
    </row>
    <row r="54" spans="1:14" x14ac:dyDescent="0.2">
      <c r="A54" s="1">
        <v>2013</v>
      </c>
      <c r="B54" s="2">
        <v>65.900000000000006</v>
      </c>
      <c r="C54" s="2">
        <v>139</v>
      </c>
      <c r="D54" s="2">
        <v>169</v>
      </c>
      <c r="E54" s="2">
        <v>120</v>
      </c>
      <c r="F54" s="2">
        <v>68.3</v>
      </c>
      <c r="G54" s="2">
        <v>44.4</v>
      </c>
      <c r="H54" s="2">
        <v>24</v>
      </c>
      <c r="I54" s="2">
        <v>18.8</v>
      </c>
      <c r="J54" s="2">
        <v>18.8</v>
      </c>
      <c r="K54" s="2">
        <v>22</v>
      </c>
      <c r="L54" s="2">
        <v>21.2</v>
      </c>
      <c r="M54" s="2">
        <v>30</v>
      </c>
      <c r="N54" s="4">
        <v>18.8</v>
      </c>
    </row>
    <row r="55" spans="1:14" x14ac:dyDescent="0.2">
      <c r="A55" s="1">
        <v>2014</v>
      </c>
      <c r="B55" s="2">
        <v>31.6</v>
      </c>
      <c r="C55" s="2">
        <v>54.2</v>
      </c>
      <c r="D55" s="2">
        <v>56.4</v>
      </c>
      <c r="E55" s="2">
        <v>57.5</v>
      </c>
      <c r="F55" s="2">
        <v>193</v>
      </c>
      <c r="G55" s="2">
        <v>65.900000000000006</v>
      </c>
      <c r="H55" s="2">
        <v>41.3</v>
      </c>
      <c r="I55" s="2">
        <v>41.3</v>
      </c>
      <c r="J55" s="2">
        <v>50.8</v>
      </c>
      <c r="K55" s="2">
        <v>51.9</v>
      </c>
      <c r="L55" s="2">
        <v>42.3</v>
      </c>
      <c r="M55" s="2">
        <v>77.3</v>
      </c>
      <c r="N55" s="4">
        <v>31.6</v>
      </c>
    </row>
    <row r="56" spans="1:14" x14ac:dyDescent="0.2">
      <c r="A56" s="1">
        <v>2015</v>
      </c>
      <c r="B56" s="2">
        <v>62.2</v>
      </c>
      <c r="C56" s="2">
        <v>124</v>
      </c>
      <c r="D56" s="2">
        <v>223</v>
      </c>
      <c r="E56" s="2">
        <v>144</v>
      </c>
      <c r="F56" s="2">
        <v>56.4</v>
      </c>
      <c r="G56" s="2">
        <v>34.1</v>
      </c>
      <c r="H56" s="2">
        <v>19.399999999999999</v>
      </c>
      <c r="I56" s="2">
        <v>18.399999999999999</v>
      </c>
      <c r="J56" s="2">
        <v>18.2</v>
      </c>
      <c r="K56" s="2">
        <v>19.399999999999999</v>
      </c>
      <c r="L56" s="2">
        <v>20.8</v>
      </c>
      <c r="M56" s="2">
        <v>27.6</v>
      </c>
      <c r="N56" s="4">
        <v>18.2</v>
      </c>
    </row>
    <row r="57" spans="1:14" x14ac:dyDescent="0.2">
      <c r="A57" s="1">
        <v>2016</v>
      </c>
      <c r="B57" s="2">
        <v>25.8</v>
      </c>
      <c r="C57" s="2">
        <v>63.5</v>
      </c>
      <c r="D57" s="2">
        <v>152</v>
      </c>
      <c r="E57" s="2">
        <v>73.3</v>
      </c>
      <c r="F57" s="2">
        <v>62.2</v>
      </c>
      <c r="G57" s="2">
        <v>34.1</v>
      </c>
      <c r="H57" s="2">
        <v>22.8</v>
      </c>
      <c r="I57" s="2">
        <v>28.8</v>
      </c>
      <c r="J57" s="2">
        <v>23.6</v>
      </c>
      <c r="K57" s="2">
        <v>23.2</v>
      </c>
      <c r="L57" s="2">
        <v>35.700000000000003</v>
      </c>
      <c r="M57" s="2">
        <v>25.2</v>
      </c>
      <c r="N57" s="4">
        <v>22.8</v>
      </c>
    </row>
    <row r="58" spans="1:14" x14ac:dyDescent="0.2">
      <c r="A58" s="1">
        <v>2017</v>
      </c>
      <c r="B58" s="2">
        <v>18.54</v>
      </c>
      <c r="C58" s="2">
        <v>29.76</v>
      </c>
      <c r="D58" s="2">
        <v>79.77</v>
      </c>
      <c r="E58" s="2">
        <v>68.56</v>
      </c>
      <c r="F58" s="2">
        <v>89.82</v>
      </c>
      <c r="G58" s="2">
        <v>30.56</v>
      </c>
      <c r="H58" s="2">
        <v>19.78</v>
      </c>
      <c r="I58" s="2">
        <v>17.940000000000001</v>
      </c>
      <c r="J58" s="2">
        <v>17.68</v>
      </c>
      <c r="K58" s="2">
        <v>18.440000000000001</v>
      </c>
      <c r="L58" s="2">
        <v>23.96</v>
      </c>
      <c r="M58" s="2">
        <v>61</v>
      </c>
      <c r="N58" s="4">
        <v>17.68</v>
      </c>
    </row>
    <row r="59" spans="1:14" x14ac:dyDescent="0.2">
      <c r="A59" s="1">
        <v>2018</v>
      </c>
      <c r="B59" s="2">
        <v>105.6</v>
      </c>
      <c r="C59" s="2">
        <v>101</v>
      </c>
      <c r="D59" s="2">
        <v>111.8</v>
      </c>
      <c r="E59" s="2">
        <v>76.78</v>
      </c>
      <c r="F59" s="2">
        <v>53.12</v>
      </c>
      <c r="G59" s="2">
        <v>44.6</v>
      </c>
      <c r="H59" s="2">
        <v>63.98</v>
      </c>
      <c r="I59" s="2">
        <v>28.14</v>
      </c>
      <c r="J59" s="2">
        <v>21.64</v>
      </c>
      <c r="K59" s="2">
        <v>19.32</v>
      </c>
      <c r="L59" s="2">
        <v>19.54</v>
      </c>
      <c r="M59" s="2">
        <v>37.4</v>
      </c>
      <c r="N59" s="4">
        <v>19.32</v>
      </c>
    </row>
    <row r="60" spans="1:14" x14ac:dyDescent="0.2">
      <c r="A60" s="1">
        <v>2019</v>
      </c>
      <c r="B60" s="2">
        <v>46.1</v>
      </c>
      <c r="C60" s="2">
        <v>106</v>
      </c>
      <c r="D60" s="2">
        <v>85.34</v>
      </c>
      <c r="E60" s="2">
        <v>81.069999999999993</v>
      </c>
      <c r="F60" s="2">
        <v>110</v>
      </c>
      <c r="G60" s="2">
        <v>58.1</v>
      </c>
      <c r="H60" s="2">
        <v>27.36</v>
      </c>
      <c r="I60" s="2">
        <v>19.739999999999998</v>
      </c>
      <c r="J60" s="2">
        <v>19.04</v>
      </c>
      <c r="K60" s="2">
        <v>17.04</v>
      </c>
      <c r="L60" s="2">
        <v>17.7</v>
      </c>
      <c r="M60" s="2">
        <v>28.38</v>
      </c>
      <c r="N60" s="4">
        <v>17.04</v>
      </c>
    </row>
    <row r="61" spans="1:14" x14ac:dyDescent="0.2">
      <c r="A61" s="1">
        <v>2020</v>
      </c>
      <c r="B61" s="2">
        <v>19.98</v>
      </c>
      <c r="C61" s="2">
        <v>46.1</v>
      </c>
      <c r="D61" s="2">
        <v>51.02</v>
      </c>
      <c r="E61" s="2">
        <v>26.34</v>
      </c>
      <c r="F61" s="2">
        <v>20.56</v>
      </c>
      <c r="G61" s="2">
        <v>35.54</v>
      </c>
      <c r="H61" s="2">
        <v>29.1</v>
      </c>
      <c r="I61" s="2">
        <v>26.16</v>
      </c>
      <c r="J61" s="2">
        <v>21.4</v>
      </c>
      <c r="K61" s="2">
        <v>22.76</v>
      </c>
      <c r="L61" s="2">
        <v>20.6</v>
      </c>
      <c r="M61" s="2">
        <v>19.100000000000001</v>
      </c>
      <c r="N61" s="4">
        <v>19.100000000000001</v>
      </c>
    </row>
    <row r="62" spans="1:14" x14ac:dyDescent="0.2">
      <c r="A62" s="1">
        <v>2021</v>
      </c>
      <c r="B62" s="2">
        <v>59.69</v>
      </c>
      <c r="C62" s="2">
        <v>68.95</v>
      </c>
      <c r="D62" s="2">
        <v>47.28</v>
      </c>
      <c r="E62" s="2">
        <v>73.95</v>
      </c>
      <c r="F62" s="2">
        <v>38.5</v>
      </c>
      <c r="G62" s="2">
        <v>19.32</v>
      </c>
      <c r="H62" s="2">
        <v>18.54</v>
      </c>
      <c r="I62" s="2">
        <v>16.8</v>
      </c>
      <c r="J62" s="2">
        <v>16.8</v>
      </c>
      <c r="K62" s="2">
        <v>16.8</v>
      </c>
      <c r="L62" s="2">
        <v>18.8</v>
      </c>
      <c r="M62" s="2">
        <v>119.4</v>
      </c>
      <c r="N62" s="1">
        <f>MIN(B62:M62)</f>
        <v>16.8</v>
      </c>
    </row>
    <row r="63" spans="1:14" x14ac:dyDescent="0.2">
      <c r="A63" s="1">
        <v>2022</v>
      </c>
      <c r="B63" s="2">
        <v>48.3</v>
      </c>
      <c r="C63" s="2">
        <v>46.95</v>
      </c>
      <c r="D63" s="2">
        <v>64.099999999999994</v>
      </c>
      <c r="E63" s="2">
        <v>76.52</v>
      </c>
      <c r="F63" s="2">
        <v>34.26</v>
      </c>
      <c r="G63" s="2">
        <v>20.72</v>
      </c>
      <c r="H63" s="2">
        <v>18.2</v>
      </c>
      <c r="I63" s="2">
        <v>17.7</v>
      </c>
      <c r="J63" s="2">
        <v>19.5</v>
      </c>
      <c r="K63" s="2">
        <v>18.3</v>
      </c>
      <c r="L63" s="2">
        <v>18.239999999999998</v>
      </c>
      <c r="M63" s="2">
        <v>28.38</v>
      </c>
      <c r="N63" s="1">
        <f t="shared" ref="N63:N66" si="0">MIN(B63:M63)</f>
        <v>17.7</v>
      </c>
    </row>
    <row r="64" spans="1:14" x14ac:dyDescent="0.2">
      <c r="A64" s="1">
        <v>2023</v>
      </c>
      <c r="B64" s="2">
        <v>41</v>
      </c>
      <c r="C64" s="2">
        <v>60.4</v>
      </c>
      <c r="D64" s="2">
        <v>105.6</v>
      </c>
      <c r="E64" s="2">
        <v>104</v>
      </c>
      <c r="F64" s="2">
        <v>102.4</v>
      </c>
      <c r="G64" s="2">
        <v>98.22</v>
      </c>
      <c r="H64" s="2">
        <v>33.380000000000003</v>
      </c>
      <c r="I64" s="2">
        <v>22.88</v>
      </c>
      <c r="J64" s="2">
        <v>20.32</v>
      </c>
      <c r="K64" s="2">
        <v>19.66</v>
      </c>
      <c r="L64" s="2">
        <v>20.12</v>
      </c>
      <c r="M64" s="2">
        <v>55.96</v>
      </c>
      <c r="N64" s="1">
        <f t="shared" si="0"/>
        <v>19.66</v>
      </c>
    </row>
    <row r="65" spans="1:14" x14ac:dyDescent="0.2">
      <c r="A65" s="1">
        <v>2024</v>
      </c>
      <c r="B65" s="1">
        <v>48.5</v>
      </c>
      <c r="C65" s="1">
        <v>44.5</v>
      </c>
      <c r="D65" s="1">
        <v>49.6</v>
      </c>
      <c r="E65" s="1">
        <v>28.62</v>
      </c>
      <c r="F65" s="1">
        <v>24</v>
      </c>
      <c r="G65" s="1">
        <v>19.16</v>
      </c>
      <c r="H65" s="1">
        <v>17.2</v>
      </c>
      <c r="I65" s="2">
        <v>13.609</v>
      </c>
      <c r="J65" s="2">
        <v>14.488</v>
      </c>
      <c r="K65" s="1">
        <v>19.54</v>
      </c>
      <c r="L65" s="1">
        <v>18</v>
      </c>
      <c r="M65" s="1">
        <v>56.62</v>
      </c>
      <c r="N65" s="1">
        <f t="shared" si="0"/>
        <v>13.609</v>
      </c>
    </row>
    <row r="66" spans="1:14" x14ac:dyDescent="0.2">
      <c r="A66" s="9">
        <v>2025</v>
      </c>
      <c r="B66" s="10">
        <v>71.760000000000005</v>
      </c>
      <c r="C66" s="10">
        <v>33.06</v>
      </c>
      <c r="D66" s="10">
        <v>49.27</v>
      </c>
      <c r="E66" s="10">
        <v>83.64</v>
      </c>
      <c r="F66" s="10">
        <v>43.29</v>
      </c>
      <c r="G66" s="10">
        <v>20.2</v>
      </c>
      <c r="H66" s="10">
        <v>19.3</v>
      </c>
      <c r="I66" s="10">
        <v>19.32</v>
      </c>
      <c r="J66" s="10">
        <v>19.32</v>
      </c>
      <c r="K66" s="10">
        <v>19.32</v>
      </c>
      <c r="L66" s="10">
        <v>21.04</v>
      </c>
      <c r="M66" s="10">
        <v>27.3</v>
      </c>
      <c r="N66" s="1">
        <f t="shared" si="0"/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qsred</vt:lpstr>
      <vt:lpstr>qmax</vt:lpstr>
      <vt:lpstr>qmin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Slobodan Gnjato</cp:lastModifiedBy>
  <dcterms:created xsi:type="dcterms:W3CDTF">2021-11-17T15:53:04Z</dcterms:created>
  <dcterms:modified xsi:type="dcterms:W3CDTF">2026-03-16T11:43:45Z</dcterms:modified>
</cp:coreProperties>
</file>