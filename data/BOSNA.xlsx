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obo91/Desktop/Cvijic/"/>
    </mc:Choice>
  </mc:AlternateContent>
  <xr:revisionPtr revIDLastSave="0" documentId="13_ncr:1_{6728D366-49BC-6A40-8192-B7DE3C230299}" xr6:coauthVersionLast="47" xr6:coauthVersionMax="47" xr10:uidLastSave="{00000000-0000-0000-0000-000000000000}"/>
  <bookViews>
    <workbookView xWindow="1100" yWindow="820" windowWidth="28040" windowHeight="17440" activeTab="1" xr2:uid="{B399AD29-6AD9-E645-8F2B-0B6405244A8F}"/>
  </bookViews>
  <sheets>
    <sheet name="PROTICAJI" sheetId="1" r:id="rId1"/>
    <sheet name="TEMP" sheetId="2" r:id="rId2"/>
    <sheet name="PADAVI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D62" i="1"/>
  <c r="E62" i="1"/>
  <c r="F62" i="1"/>
  <c r="G62" i="1"/>
  <c r="H62" i="1"/>
  <c r="I62" i="1"/>
  <c r="J62" i="1"/>
  <c r="K62" i="1"/>
  <c r="L62" i="1"/>
  <c r="M62" i="1"/>
  <c r="N62" i="1"/>
  <c r="B62" i="1"/>
  <c r="O63" i="1"/>
  <c r="P63" i="1"/>
  <c r="Q63" i="1"/>
  <c r="R63" i="1"/>
  <c r="N63" i="1"/>
  <c r="O317" i="2"/>
  <c r="P317" i="2"/>
  <c r="Q317" i="2"/>
  <c r="R317" i="2"/>
  <c r="S317" i="2"/>
  <c r="N317" i="2"/>
  <c r="O252" i="2"/>
  <c r="P252" i="2"/>
  <c r="Q252" i="2"/>
  <c r="R252" i="2"/>
  <c r="S252" i="2"/>
  <c r="N252" i="2"/>
  <c r="O189" i="2"/>
  <c r="P189" i="2"/>
  <c r="Q189" i="2"/>
  <c r="R189" i="2"/>
  <c r="S189" i="2"/>
  <c r="N189" i="2"/>
  <c r="O126" i="2"/>
  <c r="P126" i="2"/>
  <c r="Q126" i="2"/>
  <c r="R126" i="2"/>
  <c r="S126" i="2"/>
  <c r="N126" i="2"/>
  <c r="O62" i="2"/>
  <c r="P62" i="2"/>
  <c r="Q62" i="2"/>
  <c r="R62" i="2"/>
  <c r="S62" i="2"/>
  <c r="N62" i="2"/>
  <c r="O316" i="3"/>
  <c r="P316" i="3"/>
  <c r="Q316" i="3"/>
  <c r="R316" i="3"/>
  <c r="N31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R256" i="3"/>
  <c r="Q256" i="3"/>
  <c r="P256" i="3"/>
  <c r="O256" i="3"/>
  <c r="O252" i="3"/>
  <c r="P252" i="3"/>
  <c r="Q252" i="3"/>
  <c r="R252" i="3"/>
  <c r="N25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R192" i="3"/>
  <c r="Q192" i="3"/>
  <c r="P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192" i="3"/>
  <c r="O189" i="3"/>
  <c r="P189" i="3"/>
  <c r="Q189" i="3"/>
  <c r="R189" i="3"/>
  <c r="N189" i="3"/>
  <c r="O126" i="3"/>
  <c r="P126" i="3"/>
  <c r="Q126" i="3"/>
  <c r="R126" i="3"/>
  <c r="N126" i="3"/>
  <c r="N62" i="3"/>
  <c r="P62" i="3"/>
  <c r="Q62" i="3"/>
  <c r="R62" i="3"/>
  <c r="O62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29" i="3"/>
  <c r="R129" i="3"/>
  <c r="Q129" i="3"/>
  <c r="P129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R66" i="3"/>
  <c r="Q66" i="3"/>
  <c r="P66" i="3"/>
  <c r="O66" i="3"/>
  <c r="S316" i="2"/>
  <c r="R316" i="2"/>
  <c r="Q316" i="2"/>
  <c r="S315" i="2"/>
  <c r="R315" i="2"/>
  <c r="Q315" i="2"/>
  <c r="P315" i="2"/>
  <c r="S314" i="2"/>
  <c r="R314" i="2"/>
  <c r="Q314" i="2"/>
  <c r="P314" i="2"/>
  <c r="S313" i="2"/>
  <c r="R313" i="2"/>
  <c r="Q313" i="2"/>
  <c r="P313" i="2"/>
  <c r="S312" i="2"/>
  <c r="R312" i="2"/>
  <c r="Q312" i="2"/>
  <c r="P312" i="2"/>
  <c r="S311" i="2"/>
  <c r="R311" i="2"/>
  <c r="Q311" i="2"/>
  <c r="P311" i="2"/>
  <c r="S310" i="2"/>
  <c r="R310" i="2"/>
  <c r="Q310" i="2"/>
  <c r="P310" i="2"/>
  <c r="S309" i="2"/>
  <c r="R309" i="2"/>
  <c r="Q309" i="2"/>
  <c r="P309" i="2"/>
  <c r="S308" i="2"/>
  <c r="R308" i="2"/>
  <c r="Q308" i="2"/>
  <c r="P308" i="2"/>
  <c r="S307" i="2"/>
  <c r="R307" i="2"/>
  <c r="Q307" i="2"/>
  <c r="P307" i="2"/>
  <c r="S306" i="2"/>
  <c r="R306" i="2"/>
  <c r="Q306" i="2"/>
  <c r="P306" i="2"/>
  <c r="S305" i="2"/>
  <c r="R305" i="2"/>
  <c r="Q305" i="2"/>
  <c r="P305" i="2"/>
  <c r="S304" i="2"/>
  <c r="R304" i="2"/>
  <c r="Q304" i="2"/>
  <c r="P304" i="2"/>
  <c r="S303" i="2"/>
  <c r="R303" i="2"/>
  <c r="Q303" i="2"/>
  <c r="P303" i="2"/>
  <c r="S302" i="2"/>
  <c r="O266" i="2" s="1"/>
  <c r="R302" i="2"/>
  <c r="Q302" i="2"/>
  <c r="P302" i="2"/>
  <c r="S301" i="2"/>
  <c r="R301" i="2"/>
  <c r="Q301" i="2"/>
  <c r="P301" i="2"/>
  <c r="S300" i="2"/>
  <c r="R300" i="2"/>
  <c r="Q300" i="2"/>
  <c r="P300" i="2"/>
  <c r="S299" i="2"/>
  <c r="R299" i="2"/>
  <c r="Q299" i="2"/>
  <c r="P299" i="2"/>
  <c r="S298" i="2"/>
  <c r="R298" i="2"/>
  <c r="Q298" i="2"/>
  <c r="P298" i="2"/>
  <c r="S297" i="2"/>
  <c r="R297" i="2"/>
  <c r="Q297" i="2"/>
  <c r="P297" i="2"/>
  <c r="S296" i="2"/>
  <c r="R296" i="2"/>
  <c r="Q296" i="2"/>
  <c r="P296" i="2"/>
  <c r="S295" i="2"/>
  <c r="R295" i="2"/>
  <c r="Q295" i="2"/>
  <c r="P295" i="2"/>
  <c r="S294" i="2"/>
  <c r="R294" i="2"/>
  <c r="Q294" i="2"/>
  <c r="P294" i="2"/>
  <c r="S293" i="2"/>
  <c r="R293" i="2"/>
  <c r="Q293" i="2"/>
  <c r="P293" i="2"/>
  <c r="S292" i="2"/>
  <c r="O264" i="2" s="1"/>
  <c r="R292" i="2"/>
  <c r="Q292" i="2"/>
  <c r="P292" i="2"/>
  <c r="S291" i="2"/>
  <c r="R291" i="2"/>
  <c r="Q291" i="2"/>
  <c r="P291" i="2"/>
  <c r="S290" i="2"/>
  <c r="R290" i="2"/>
  <c r="Q290" i="2"/>
  <c r="P290" i="2"/>
  <c r="S289" i="2"/>
  <c r="R289" i="2"/>
  <c r="Q289" i="2"/>
  <c r="P289" i="2"/>
  <c r="S288" i="2"/>
  <c r="R288" i="2"/>
  <c r="Q288" i="2"/>
  <c r="P288" i="2"/>
  <c r="S287" i="2"/>
  <c r="O263" i="2" s="1"/>
  <c r="R287" i="2"/>
  <c r="Q287" i="2"/>
  <c r="P287" i="2"/>
  <c r="S286" i="2"/>
  <c r="R286" i="2"/>
  <c r="Q286" i="2"/>
  <c r="P286" i="2"/>
  <c r="S285" i="2"/>
  <c r="R285" i="2"/>
  <c r="Q285" i="2"/>
  <c r="P285" i="2"/>
  <c r="S284" i="2"/>
  <c r="R284" i="2"/>
  <c r="Q284" i="2"/>
  <c r="P284" i="2"/>
  <c r="S283" i="2"/>
  <c r="R283" i="2"/>
  <c r="Q283" i="2"/>
  <c r="P283" i="2"/>
  <c r="S282" i="2"/>
  <c r="O262" i="2" s="1"/>
  <c r="R282" i="2"/>
  <c r="Q282" i="2"/>
  <c r="P282" i="2"/>
  <c r="S281" i="2"/>
  <c r="R281" i="2"/>
  <c r="Q281" i="2"/>
  <c r="P281" i="2"/>
  <c r="S280" i="2"/>
  <c r="R280" i="2"/>
  <c r="Q280" i="2"/>
  <c r="P280" i="2"/>
  <c r="S279" i="2"/>
  <c r="R279" i="2"/>
  <c r="Q279" i="2"/>
  <c r="P279" i="2"/>
  <c r="S278" i="2"/>
  <c r="R278" i="2"/>
  <c r="Q278" i="2"/>
  <c r="P278" i="2"/>
  <c r="S277" i="2"/>
  <c r="O261" i="2" s="1"/>
  <c r="R277" i="2"/>
  <c r="Q277" i="2"/>
  <c r="P277" i="2"/>
  <c r="S276" i="2"/>
  <c r="R276" i="2"/>
  <c r="Q276" i="2"/>
  <c r="P276" i="2"/>
  <c r="S275" i="2"/>
  <c r="R275" i="2"/>
  <c r="Q275" i="2"/>
  <c r="P275" i="2"/>
  <c r="S274" i="2"/>
  <c r="R274" i="2"/>
  <c r="Q274" i="2"/>
  <c r="P274" i="2"/>
  <c r="S273" i="2"/>
  <c r="R273" i="2"/>
  <c r="Q273" i="2"/>
  <c r="P273" i="2"/>
  <c r="S272" i="2"/>
  <c r="R272" i="2"/>
  <c r="Q272" i="2"/>
  <c r="P272" i="2"/>
  <c r="S271" i="2"/>
  <c r="R271" i="2"/>
  <c r="Q271" i="2"/>
  <c r="P271" i="2"/>
  <c r="S270" i="2"/>
  <c r="R270" i="2"/>
  <c r="Q270" i="2"/>
  <c r="P270" i="2"/>
  <c r="S269" i="2"/>
  <c r="R269" i="2"/>
  <c r="Q269" i="2"/>
  <c r="P269" i="2"/>
  <c r="S268" i="2"/>
  <c r="R268" i="2"/>
  <c r="Q268" i="2"/>
  <c r="P268" i="2"/>
  <c r="S267" i="2"/>
  <c r="R267" i="2"/>
  <c r="Q267" i="2"/>
  <c r="P267" i="2"/>
  <c r="S266" i="2"/>
  <c r="R266" i="2"/>
  <c r="Q266" i="2"/>
  <c r="P266" i="2"/>
  <c r="S265" i="2"/>
  <c r="R265" i="2"/>
  <c r="Q265" i="2"/>
  <c r="P265" i="2"/>
  <c r="S264" i="2"/>
  <c r="R264" i="2"/>
  <c r="Q264" i="2"/>
  <c r="P264" i="2"/>
  <c r="S263" i="2"/>
  <c r="R263" i="2"/>
  <c r="Q263" i="2"/>
  <c r="P263" i="2"/>
  <c r="S262" i="2"/>
  <c r="R262" i="2"/>
  <c r="Q262" i="2"/>
  <c r="P262" i="2"/>
  <c r="S261" i="2"/>
  <c r="R261" i="2"/>
  <c r="Q261" i="2"/>
  <c r="P261" i="2"/>
  <c r="S260" i="2"/>
  <c r="R260" i="2"/>
  <c r="Q260" i="2"/>
  <c r="P260" i="2"/>
  <c r="S259" i="2"/>
  <c r="R259" i="2"/>
  <c r="Q259" i="2"/>
  <c r="P259" i="2"/>
  <c r="S258" i="2"/>
  <c r="R258" i="2"/>
  <c r="Q258" i="2"/>
  <c r="P258" i="2"/>
  <c r="S257" i="2"/>
  <c r="O257" i="2" s="1"/>
  <c r="R257" i="2"/>
  <c r="Q257" i="2"/>
  <c r="P257" i="2"/>
  <c r="S251" i="2"/>
  <c r="R251" i="2"/>
  <c r="Q251" i="2"/>
  <c r="S250" i="2"/>
  <c r="R250" i="2"/>
  <c r="Q250" i="2"/>
  <c r="P250" i="2"/>
  <c r="S249" i="2"/>
  <c r="R249" i="2"/>
  <c r="Q249" i="2"/>
  <c r="P249" i="2"/>
  <c r="S248" i="2"/>
  <c r="R248" i="2"/>
  <c r="Q248" i="2"/>
  <c r="P248" i="2"/>
  <c r="S247" i="2"/>
  <c r="R247" i="2"/>
  <c r="Q247" i="2"/>
  <c r="P247" i="2"/>
  <c r="S246" i="2"/>
  <c r="R246" i="2"/>
  <c r="Q246" i="2"/>
  <c r="P246" i="2"/>
  <c r="S245" i="2"/>
  <c r="R245" i="2"/>
  <c r="Q245" i="2"/>
  <c r="P245" i="2"/>
  <c r="S244" i="2"/>
  <c r="R244" i="2"/>
  <c r="Q244" i="2"/>
  <c r="P244" i="2"/>
  <c r="S243" i="2"/>
  <c r="R243" i="2"/>
  <c r="Q243" i="2"/>
  <c r="P243" i="2"/>
  <c r="S242" i="2"/>
  <c r="R242" i="2"/>
  <c r="Q242" i="2"/>
  <c r="P242" i="2"/>
  <c r="S241" i="2"/>
  <c r="R241" i="2"/>
  <c r="Q241" i="2"/>
  <c r="P241" i="2"/>
  <c r="S240" i="2"/>
  <c r="R240" i="2"/>
  <c r="Q240" i="2"/>
  <c r="P240" i="2"/>
  <c r="S239" i="2"/>
  <c r="R239" i="2"/>
  <c r="Q239" i="2"/>
  <c r="P239" i="2"/>
  <c r="S238" i="2"/>
  <c r="R238" i="2"/>
  <c r="Q238" i="2"/>
  <c r="P238" i="2"/>
  <c r="S237" i="2"/>
  <c r="R237" i="2"/>
  <c r="Q237" i="2"/>
  <c r="P237" i="2"/>
  <c r="S236" i="2"/>
  <c r="R236" i="2"/>
  <c r="Q236" i="2"/>
  <c r="P236" i="2"/>
  <c r="S235" i="2"/>
  <c r="R235" i="2"/>
  <c r="Q235" i="2"/>
  <c r="P235" i="2"/>
  <c r="S234" i="2"/>
  <c r="R234" i="2"/>
  <c r="Q234" i="2"/>
  <c r="P234" i="2"/>
  <c r="S233" i="2"/>
  <c r="R233" i="2"/>
  <c r="Q233" i="2"/>
  <c r="P233" i="2"/>
  <c r="S232" i="2"/>
  <c r="R232" i="2"/>
  <c r="Q232" i="2"/>
  <c r="P232" i="2"/>
  <c r="S231" i="2"/>
  <c r="R231" i="2"/>
  <c r="Q231" i="2"/>
  <c r="P231" i="2"/>
  <c r="S230" i="2"/>
  <c r="R230" i="2"/>
  <c r="Q230" i="2"/>
  <c r="P230" i="2"/>
  <c r="S229" i="2"/>
  <c r="R229" i="2"/>
  <c r="Q229" i="2"/>
  <c r="P229" i="2"/>
  <c r="S228" i="2"/>
  <c r="R228" i="2"/>
  <c r="Q228" i="2"/>
  <c r="P228" i="2"/>
  <c r="S227" i="2"/>
  <c r="R227" i="2"/>
  <c r="Q227" i="2"/>
  <c r="P227" i="2"/>
  <c r="S226" i="2"/>
  <c r="R226" i="2"/>
  <c r="Q226" i="2"/>
  <c r="P226" i="2"/>
  <c r="S225" i="2"/>
  <c r="R225" i="2"/>
  <c r="Q225" i="2"/>
  <c r="P225" i="2"/>
  <c r="S224" i="2"/>
  <c r="R224" i="2"/>
  <c r="Q224" i="2"/>
  <c r="P224" i="2"/>
  <c r="S223" i="2"/>
  <c r="R223" i="2"/>
  <c r="Q223" i="2"/>
  <c r="P223" i="2"/>
  <c r="S222" i="2"/>
  <c r="R222" i="2"/>
  <c r="Q222" i="2"/>
  <c r="P222" i="2"/>
  <c r="S221" i="2"/>
  <c r="R221" i="2"/>
  <c r="Q221" i="2"/>
  <c r="P221" i="2"/>
  <c r="S220" i="2"/>
  <c r="R220" i="2"/>
  <c r="Q220" i="2"/>
  <c r="P220" i="2"/>
  <c r="S219" i="2"/>
  <c r="R219" i="2"/>
  <c r="Q219" i="2"/>
  <c r="P219" i="2"/>
  <c r="S218" i="2"/>
  <c r="R218" i="2"/>
  <c r="Q218" i="2"/>
  <c r="P218" i="2"/>
  <c r="S217" i="2"/>
  <c r="R217" i="2"/>
  <c r="Q217" i="2"/>
  <c r="P217" i="2"/>
  <c r="S216" i="2"/>
  <c r="R216" i="2"/>
  <c r="Q216" i="2"/>
  <c r="P216" i="2"/>
  <c r="S215" i="2"/>
  <c r="R215" i="2"/>
  <c r="Q215" i="2"/>
  <c r="P215" i="2"/>
  <c r="S214" i="2"/>
  <c r="R214" i="2"/>
  <c r="Q214" i="2"/>
  <c r="P214" i="2"/>
  <c r="S213" i="2"/>
  <c r="R213" i="2"/>
  <c r="Q213" i="2"/>
  <c r="P213" i="2"/>
  <c r="S212" i="2"/>
  <c r="R212" i="2"/>
  <c r="Q212" i="2"/>
  <c r="P212" i="2"/>
  <c r="S211" i="2"/>
  <c r="R211" i="2"/>
  <c r="Q211" i="2"/>
  <c r="P211" i="2"/>
  <c r="S210" i="2"/>
  <c r="R210" i="2"/>
  <c r="Q210" i="2"/>
  <c r="P210" i="2"/>
  <c r="S209" i="2"/>
  <c r="R209" i="2"/>
  <c r="Q209" i="2"/>
  <c r="P209" i="2"/>
  <c r="S208" i="2"/>
  <c r="R208" i="2"/>
  <c r="Q208" i="2"/>
  <c r="P208" i="2"/>
  <c r="S207" i="2"/>
  <c r="R207" i="2"/>
  <c r="Q207" i="2"/>
  <c r="P207" i="2"/>
  <c r="S206" i="2"/>
  <c r="R206" i="2"/>
  <c r="Q206" i="2"/>
  <c r="P206" i="2"/>
  <c r="S205" i="2"/>
  <c r="R205" i="2"/>
  <c r="Q205" i="2"/>
  <c r="P205" i="2"/>
  <c r="S204" i="2"/>
  <c r="R204" i="2"/>
  <c r="Q204" i="2"/>
  <c r="P204" i="2"/>
  <c r="S203" i="2"/>
  <c r="R203" i="2"/>
  <c r="Q203" i="2"/>
  <c r="P203" i="2"/>
  <c r="S202" i="2"/>
  <c r="R202" i="2"/>
  <c r="Q202" i="2"/>
  <c r="P202" i="2"/>
  <c r="S201" i="2"/>
  <c r="R201" i="2"/>
  <c r="Q201" i="2"/>
  <c r="P201" i="2"/>
  <c r="S200" i="2"/>
  <c r="R200" i="2"/>
  <c r="Q200" i="2"/>
  <c r="P200" i="2"/>
  <c r="S199" i="2"/>
  <c r="R199" i="2"/>
  <c r="Q199" i="2"/>
  <c r="P199" i="2"/>
  <c r="S198" i="2"/>
  <c r="R198" i="2"/>
  <c r="Q198" i="2"/>
  <c r="P198" i="2"/>
  <c r="S197" i="2"/>
  <c r="R197" i="2"/>
  <c r="Q197" i="2"/>
  <c r="P197" i="2"/>
  <c r="S196" i="2"/>
  <c r="R196" i="2"/>
  <c r="Q196" i="2"/>
  <c r="P196" i="2"/>
  <c r="S195" i="2"/>
  <c r="R195" i="2"/>
  <c r="Q195" i="2"/>
  <c r="P195" i="2"/>
  <c r="S194" i="2"/>
  <c r="R194" i="2"/>
  <c r="Q194" i="2"/>
  <c r="P194" i="2"/>
  <c r="S193" i="2"/>
  <c r="R193" i="2"/>
  <c r="Q193" i="2"/>
  <c r="P193" i="2"/>
  <c r="S192" i="2"/>
  <c r="R192" i="2"/>
  <c r="Q192" i="2"/>
  <c r="P192" i="2"/>
  <c r="S188" i="2"/>
  <c r="R188" i="2"/>
  <c r="Q188" i="2"/>
  <c r="S187" i="2"/>
  <c r="R187" i="2"/>
  <c r="Q187" i="2"/>
  <c r="P187" i="2"/>
  <c r="S186" i="2"/>
  <c r="R186" i="2"/>
  <c r="Q186" i="2"/>
  <c r="P186" i="2"/>
  <c r="R185" i="2"/>
  <c r="Q185" i="2"/>
  <c r="P185" i="2"/>
  <c r="S184" i="2"/>
  <c r="R184" i="2"/>
  <c r="Q184" i="2"/>
  <c r="P184" i="2"/>
  <c r="S183" i="2"/>
  <c r="R183" i="2"/>
  <c r="Q183" i="2"/>
  <c r="P183" i="2"/>
  <c r="S182" i="2"/>
  <c r="R182" i="2"/>
  <c r="Q182" i="2"/>
  <c r="P182" i="2"/>
  <c r="S181" i="2"/>
  <c r="R181" i="2"/>
  <c r="Q181" i="2"/>
  <c r="P181" i="2"/>
  <c r="S180" i="2"/>
  <c r="R180" i="2"/>
  <c r="Q180" i="2"/>
  <c r="P180" i="2"/>
  <c r="S179" i="2"/>
  <c r="O139" i="2" s="1"/>
  <c r="R179" i="2"/>
  <c r="Q179" i="2"/>
  <c r="P179" i="2"/>
  <c r="S178" i="2"/>
  <c r="R178" i="2"/>
  <c r="Q178" i="2"/>
  <c r="P178" i="2"/>
  <c r="S177" i="2"/>
  <c r="R177" i="2"/>
  <c r="Q177" i="2"/>
  <c r="P177" i="2"/>
  <c r="S176" i="2"/>
  <c r="R176" i="2"/>
  <c r="Q176" i="2"/>
  <c r="P176" i="2"/>
  <c r="S175" i="2"/>
  <c r="R175" i="2"/>
  <c r="Q175" i="2"/>
  <c r="P175" i="2"/>
  <c r="S174" i="2"/>
  <c r="R174" i="2"/>
  <c r="Q174" i="2"/>
  <c r="P174" i="2"/>
  <c r="S173" i="2"/>
  <c r="R173" i="2"/>
  <c r="Q173" i="2"/>
  <c r="P173" i="2"/>
  <c r="S172" i="2"/>
  <c r="R172" i="2"/>
  <c r="Q172" i="2"/>
  <c r="P172" i="2"/>
  <c r="S171" i="2"/>
  <c r="R171" i="2"/>
  <c r="Q171" i="2"/>
  <c r="P171" i="2"/>
  <c r="S170" i="2"/>
  <c r="R170" i="2"/>
  <c r="Q170" i="2"/>
  <c r="P170" i="2"/>
  <c r="S169" i="2"/>
  <c r="O137" i="2" s="1"/>
  <c r="R169" i="2"/>
  <c r="Q169" i="2"/>
  <c r="P169" i="2"/>
  <c r="S168" i="2"/>
  <c r="R168" i="2"/>
  <c r="Q168" i="2"/>
  <c r="P168" i="2"/>
  <c r="S167" i="2"/>
  <c r="R167" i="2"/>
  <c r="Q167" i="2"/>
  <c r="P167" i="2"/>
  <c r="S166" i="2"/>
  <c r="R166" i="2"/>
  <c r="Q166" i="2"/>
  <c r="P166" i="2"/>
  <c r="S165" i="2"/>
  <c r="R165" i="2"/>
  <c r="Q165" i="2"/>
  <c r="P165" i="2"/>
  <c r="S164" i="2"/>
  <c r="R164" i="2"/>
  <c r="Q164" i="2"/>
  <c r="P164" i="2"/>
  <c r="S163" i="2"/>
  <c r="R163" i="2"/>
  <c r="Q163" i="2"/>
  <c r="P163" i="2"/>
  <c r="S162" i="2"/>
  <c r="R162" i="2"/>
  <c r="Q162" i="2"/>
  <c r="P162" i="2"/>
  <c r="S161" i="2"/>
  <c r="R161" i="2"/>
  <c r="Q161" i="2"/>
  <c r="P161" i="2"/>
  <c r="S160" i="2"/>
  <c r="R160" i="2"/>
  <c r="Q160" i="2"/>
  <c r="P160" i="2"/>
  <c r="S159" i="2"/>
  <c r="R159" i="2"/>
  <c r="Q159" i="2"/>
  <c r="P159" i="2"/>
  <c r="S158" i="2"/>
  <c r="R158" i="2"/>
  <c r="Q158" i="2"/>
  <c r="P158" i="2"/>
  <c r="S157" i="2"/>
  <c r="R157" i="2"/>
  <c r="Q157" i="2"/>
  <c r="P157" i="2"/>
  <c r="S156" i="2"/>
  <c r="R156" i="2"/>
  <c r="Q156" i="2"/>
  <c r="P156" i="2"/>
  <c r="S155" i="2"/>
  <c r="R155" i="2"/>
  <c r="Q155" i="2"/>
  <c r="P155" i="2"/>
  <c r="S154" i="2"/>
  <c r="R154" i="2"/>
  <c r="Q154" i="2"/>
  <c r="P154" i="2"/>
  <c r="S153" i="2"/>
  <c r="R153" i="2"/>
  <c r="Q153" i="2"/>
  <c r="P153" i="2"/>
  <c r="S152" i="2"/>
  <c r="R152" i="2"/>
  <c r="Q152" i="2"/>
  <c r="P152" i="2"/>
  <c r="S151" i="2"/>
  <c r="R151" i="2"/>
  <c r="Q151" i="2"/>
  <c r="P151" i="2"/>
  <c r="S150" i="2"/>
  <c r="R150" i="2"/>
  <c r="Q150" i="2"/>
  <c r="P150" i="2"/>
  <c r="S149" i="2"/>
  <c r="O133" i="2" s="1"/>
  <c r="R149" i="2"/>
  <c r="Q149" i="2"/>
  <c r="P149" i="2"/>
  <c r="S148" i="2"/>
  <c r="R148" i="2"/>
  <c r="Q148" i="2"/>
  <c r="P148" i="2"/>
  <c r="S147" i="2"/>
  <c r="R147" i="2"/>
  <c r="Q147" i="2"/>
  <c r="P147" i="2"/>
  <c r="S146" i="2"/>
  <c r="R146" i="2"/>
  <c r="Q146" i="2"/>
  <c r="P146" i="2"/>
  <c r="S145" i="2"/>
  <c r="R145" i="2"/>
  <c r="Q145" i="2"/>
  <c r="P145" i="2"/>
  <c r="S144" i="2"/>
  <c r="R144" i="2"/>
  <c r="Q144" i="2"/>
  <c r="P144" i="2"/>
  <c r="S143" i="2"/>
  <c r="R143" i="2"/>
  <c r="Q143" i="2"/>
  <c r="P143" i="2"/>
  <c r="S142" i="2"/>
  <c r="R142" i="2"/>
  <c r="Q142" i="2"/>
  <c r="P142" i="2"/>
  <c r="S141" i="2"/>
  <c r="R141" i="2"/>
  <c r="Q141" i="2"/>
  <c r="P141" i="2"/>
  <c r="S140" i="2"/>
  <c r="R140" i="2"/>
  <c r="Q140" i="2"/>
  <c r="P140" i="2"/>
  <c r="S139" i="2"/>
  <c r="O131" i="2" s="1"/>
  <c r="R139" i="2"/>
  <c r="Q139" i="2"/>
  <c r="P139" i="2"/>
  <c r="S138" i="2"/>
  <c r="R138" i="2"/>
  <c r="Q138" i="2"/>
  <c r="P138" i="2"/>
  <c r="S137" i="2"/>
  <c r="R137" i="2"/>
  <c r="Q137" i="2"/>
  <c r="P137" i="2"/>
  <c r="S136" i="2"/>
  <c r="R136" i="2"/>
  <c r="Q136" i="2"/>
  <c r="P136" i="2"/>
  <c r="S135" i="2"/>
  <c r="O130" i="2" s="1"/>
  <c r="R135" i="2"/>
  <c r="Q135" i="2"/>
  <c r="P135" i="2"/>
  <c r="S134" i="2"/>
  <c r="R134" i="2"/>
  <c r="Q134" i="2"/>
  <c r="P134" i="2"/>
  <c r="S133" i="2"/>
  <c r="R133" i="2"/>
  <c r="Q133" i="2"/>
  <c r="P133" i="2"/>
  <c r="S132" i="2"/>
  <c r="R132" i="2"/>
  <c r="Q132" i="2"/>
  <c r="P132" i="2"/>
  <c r="S131" i="2"/>
  <c r="R131" i="2"/>
  <c r="Q131" i="2"/>
  <c r="P131" i="2"/>
  <c r="S130" i="2"/>
  <c r="R130" i="2"/>
  <c r="Q130" i="2"/>
  <c r="P130" i="2"/>
  <c r="S129" i="2"/>
  <c r="O129" i="2" s="1"/>
  <c r="R129" i="2"/>
  <c r="Q129" i="2"/>
  <c r="P129" i="2"/>
  <c r="S125" i="2"/>
  <c r="R125" i="2"/>
  <c r="Q125" i="2"/>
  <c r="S124" i="2"/>
  <c r="R124" i="2"/>
  <c r="Q124" i="2"/>
  <c r="P124" i="2"/>
  <c r="S123" i="2"/>
  <c r="R123" i="2"/>
  <c r="Q123" i="2"/>
  <c r="P123" i="2"/>
  <c r="S122" i="2"/>
  <c r="R122" i="2"/>
  <c r="Q122" i="2"/>
  <c r="P122" i="2"/>
  <c r="S121" i="2"/>
  <c r="R121" i="2"/>
  <c r="Q121" i="2"/>
  <c r="P121" i="2"/>
  <c r="S120" i="2"/>
  <c r="R120" i="2"/>
  <c r="Q120" i="2"/>
  <c r="P120" i="2"/>
  <c r="S119" i="2"/>
  <c r="R119" i="2"/>
  <c r="Q119" i="2"/>
  <c r="P119" i="2"/>
  <c r="S118" i="2"/>
  <c r="R118" i="2"/>
  <c r="Q118" i="2"/>
  <c r="P118" i="2"/>
  <c r="S117" i="2"/>
  <c r="R117" i="2"/>
  <c r="Q117" i="2"/>
  <c r="P117" i="2"/>
  <c r="S116" i="2"/>
  <c r="R116" i="2"/>
  <c r="Q116" i="2"/>
  <c r="P116" i="2"/>
  <c r="S115" i="2"/>
  <c r="R115" i="2"/>
  <c r="Q115" i="2"/>
  <c r="P115" i="2"/>
  <c r="S114" i="2"/>
  <c r="R114" i="2"/>
  <c r="Q114" i="2"/>
  <c r="P114" i="2"/>
  <c r="S113" i="2"/>
  <c r="R113" i="2"/>
  <c r="Q113" i="2"/>
  <c r="P113" i="2"/>
  <c r="S112" i="2"/>
  <c r="R112" i="2"/>
  <c r="Q112" i="2"/>
  <c r="P112" i="2"/>
  <c r="S111" i="2"/>
  <c r="R111" i="2"/>
  <c r="Q111" i="2"/>
  <c r="P111" i="2"/>
  <c r="S110" i="2"/>
  <c r="R110" i="2"/>
  <c r="Q110" i="2"/>
  <c r="P110" i="2"/>
  <c r="S109" i="2"/>
  <c r="R109" i="2"/>
  <c r="Q109" i="2"/>
  <c r="P109" i="2"/>
  <c r="S108" i="2"/>
  <c r="R108" i="2"/>
  <c r="Q108" i="2"/>
  <c r="P108" i="2"/>
  <c r="S107" i="2"/>
  <c r="R107" i="2"/>
  <c r="Q107" i="2"/>
  <c r="P107" i="2"/>
  <c r="S106" i="2"/>
  <c r="R106" i="2"/>
  <c r="Q106" i="2"/>
  <c r="P106" i="2"/>
  <c r="S105" i="2"/>
  <c r="R105" i="2"/>
  <c r="Q105" i="2"/>
  <c r="P105" i="2"/>
  <c r="S104" i="2"/>
  <c r="R104" i="2"/>
  <c r="Q104" i="2"/>
  <c r="P104" i="2"/>
  <c r="S103" i="2"/>
  <c r="R103" i="2"/>
  <c r="Q103" i="2"/>
  <c r="P103" i="2"/>
  <c r="S102" i="2"/>
  <c r="R102" i="2"/>
  <c r="Q102" i="2"/>
  <c r="P102" i="2"/>
  <c r="S101" i="2"/>
  <c r="R101" i="2"/>
  <c r="Q101" i="2"/>
  <c r="P101" i="2"/>
  <c r="S100" i="2"/>
  <c r="R100" i="2"/>
  <c r="Q100" i="2"/>
  <c r="P100" i="2"/>
  <c r="S99" i="2"/>
  <c r="R99" i="2"/>
  <c r="Q99" i="2"/>
  <c r="P99" i="2"/>
  <c r="S98" i="2"/>
  <c r="R98" i="2"/>
  <c r="Q98" i="2"/>
  <c r="P98" i="2"/>
  <c r="S97" i="2"/>
  <c r="R97" i="2"/>
  <c r="Q97" i="2"/>
  <c r="P97" i="2"/>
  <c r="S96" i="2"/>
  <c r="R96" i="2"/>
  <c r="Q96" i="2"/>
  <c r="P96" i="2"/>
  <c r="S95" i="2"/>
  <c r="R95" i="2"/>
  <c r="Q95" i="2"/>
  <c r="P95" i="2"/>
  <c r="S94" i="2"/>
  <c r="R94" i="2"/>
  <c r="Q94" i="2"/>
  <c r="P94" i="2"/>
  <c r="S93" i="2"/>
  <c r="R93" i="2"/>
  <c r="Q93" i="2"/>
  <c r="P93" i="2"/>
  <c r="S92" i="2"/>
  <c r="R92" i="2"/>
  <c r="Q92" i="2"/>
  <c r="P92" i="2"/>
  <c r="S91" i="2"/>
  <c r="R91" i="2"/>
  <c r="Q91" i="2"/>
  <c r="P91" i="2"/>
  <c r="S90" i="2"/>
  <c r="R90" i="2"/>
  <c r="Q90" i="2"/>
  <c r="P90" i="2"/>
  <c r="S89" i="2"/>
  <c r="R89" i="2"/>
  <c r="Q89" i="2"/>
  <c r="P89" i="2"/>
  <c r="S88" i="2"/>
  <c r="R88" i="2"/>
  <c r="Q88" i="2"/>
  <c r="P88" i="2"/>
  <c r="S87" i="2"/>
  <c r="R87" i="2"/>
  <c r="Q87" i="2"/>
  <c r="P87" i="2"/>
  <c r="S86" i="2"/>
  <c r="R86" i="2"/>
  <c r="Q86" i="2"/>
  <c r="P86" i="2"/>
  <c r="S85" i="2"/>
  <c r="R85" i="2"/>
  <c r="Q85" i="2"/>
  <c r="P85" i="2"/>
  <c r="S84" i="2"/>
  <c r="R84" i="2"/>
  <c r="Q84" i="2"/>
  <c r="P84" i="2"/>
  <c r="S83" i="2"/>
  <c r="R83" i="2"/>
  <c r="Q83" i="2"/>
  <c r="P83" i="2"/>
  <c r="S82" i="2"/>
  <c r="R82" i="2"/>
  <c r="Q82" i="2"/>
  <c r="P82" i="2"/>
  <c r="S81" i="2"/>
  <c r="R81" i="2"/>
  <c r="Q81" i="2"/>
  <c r="P81" i="2"/>
  <c r="S80" i="2"/>
  <c r="R80" i="2"/>
  <c r="Q80" i="2"/>
  <c r="P80" i="2"/>
  <c r="S79" i="2"/>
  <c r="R79" i="2"/>
  <c r="Q79" i="2"/>
  <c r="P79" i="2"/>
  <c r="S78" i="2"/>
  <c r="R78" i="2"/>
  <c r="Q78" i="2"/>
  <c r="P78" i="2"/>
  <c r="S77" i="2"/>
  <c r="R77" i="2"/>
  <c r="Q77" i="2"/>
  <c r="P77" i="2"/>
  <c r="S76" i="2"/>
  <c r="R76" i="2"/>
  <c r="Q76" i="2"/>
  <c r="P76" i="2"/>
  <c r="S75" i="2"/>
  <c r="R75" i="2"/>
  <c r="Q75" i="2"/>
  <c r="P75" i="2"/>
  <c r="S74" i="2"/>
  <c r="R74" i="2"/>
  <c r="Q74" i="2"/>
  <c r="P74" i="2"/>
  <c r="S73" i="2"/>
  <c r="R73" i="2"/>
  <c r="Q73" i="2"/>
  <c r="P73" i="2"/>
  <c r="S72" i="2"/>
  <c r="R72" i="2"/>
  <c r="Q72" i="2"/>
  <c r="P72" i="2"/>
  <c r="S71" i="2"/>
  <c r="R71" i="2"/>
  <c r="Q71" i="2"/>
  <c r="P71" i="2"/>
  <c r="S70" i="2"/>
  <c r="R70" i="2"/>
  <c r="Q70" i="2"/>
  <c r="P70" i="2"/>
  <c r="S69" i="2"/>
  <c r="R69" i="2"/>
  <c r="Q69" i="2"/>
  <c r="P69" i="2"/>
  <c r="S68" i="2"/>
  <c r="R68" i="2"/>
  <c r="Q68" i="2"/>
  <c r="P68" i="2"/>
  <c r="S67" i="2"/>
  <c r="R67" i="2"/>
  <c r="Q67" i="2"/>
  <c r="P67" i="2"/>
  <c r="S66" i="2"/>
  <c r="R66" i="2"/>
  <c r="Q66" i="2"/>
  <c r="P66" i="2"/>
  <c r="S61" i="2"/>
  <c r="R61" i="2"/>
  <c r="Q61" i="2"/>
  <c r="N61" i="2"/>
  <c r="S60" i="2"/>
  <c r="R60" i="2"/>
  <c r="Q60" i="2"/>
  <c r="P60" i="2"/>
  <c r="N60" i="2"/>
  <c r="S59" i="2"/>
  <c r="R59" i="2"/>
  <c r="Q59" i="2"/>
  <c r="P59" i="2"/>
  <c r="N59" i="2"/>
  <c r="S58" i="2"/>
  <c r="R58" i="2"/>
  <c r="Q58" i="2"/>
  <c r="P58" i="2"/>
  <c r="S57" i="2"/>
  <c r="R57" i="2"/>
  <c r="Q57" i="2"/>
  <c r="P57" i="2"/>
  <c r="S56" i="2"/>
  <c r="R56" i="2"/>
  <c r="Q56" i="2"/>
  <c r="P56" i="2"/>
  <c r="S55" i="2"/>
  <c r="R55" i="2"/>
  <c r="Q55" i="2"/>
  <c r="P55" i="2"/>
  <c r="S54" i="2"/>
  <c r="R54" i="2"/>
  <c r="Q54" i="2"/>
  <c r="P54" i="2"/>
  <c r="S53" i="2"/>
  <c r="R53" i="2"/>
  <c r="Q53" i="2"/>
  <c r="P53" i="2"/>
  <c r="S52" i="2"/>
  <c r="R52" i="2"/>
  <c r="Q52" i="2"/>
  <c r="P52" i="2"/>
  <c r="S51" i="2"/>
  <c r="R51" i="2"/>
  <c r="Q51" i="2"/>
  <c r="P51" i="2"/>
  <c r="S50" i="2"/>
  <c r="R50" i="2"/>
  <c r="Q50" i="2"/>
  <c r="P50" i="2"/>
  <c r="S49" i="2"/>
  <c r="R49" i="2"/>
  <c r="Q49" i="2"/>
  <c r="P49" i="2"/>
  <c r="S48" i="2"/>
  <c r="R48" i="2"/>
  <c r="Q48" i="2"/>
  <c r="P48" i="2"/>
  <c r="S47" i="2"/>
  <c r="R47" i="2"/>
  <c r="Q47" i="2"/>
  <c r="P47" i="2"/>
  <c r="S46" i="2"/>
  <c r="R46" i="2"/>
  <c r="Q46" i="2"/>
  <c r="P46" i="2"/>
  <c r="S45" i="2"/>
  <c r="R45" i="2"/>
  <c r="Q45" i="2"/>
  <c r="P45" i="2"/>
  <c r="S44" i="2"/>
  <c r="R44" i="2"/>
  <c r="Q44" i="2"/>
  <c r="P44" i="2"/>
  <c r="S43" i="2"/>
  <c r="R43" i="2"/>
  <c r="Q43" i="2"/>
  <c r="P43" i="2"/>
  <c r="S42" i="2"/>
  <c r="R42" i="2"/>
  <c r="Q42" i="2"/>
  <c r="P42" i="2"/>
  <c r="S41" i="2"/>
  <c r="R41" i="2"/>
  <c r="Q41" i="2"/>
  <c r="P41" i="2"/>
  <c r="S40" i="2"/>
  <c r="R40" i="2"/>
  <c r="Q40" i="2"/>
  <c r="P40" i="2"/>
  <c r="S39" i="2"/>
  <c r="R39" i="2"/>
  <c r="Q39" i="2"/>
  <c r="P39" i="2"/>
  <c r="S38" i="2"/>
  <c r="R38" i="2"/>
  <c r="Q38" i="2"/>
  <c r="P38" i="2"/>
  <c r="S37" i="2"/>
  <c r="R37" i="2"/>
  <c r="Q37" i="2"/>
  <c r="P37" i="2"/>
  <c r="C37" i="2"/>
  <c r="B37" i="2"/>
  <c r="N37" i="2" s="1"/>
  <c r="R36" i="2"/>
  <c r="Q36" i="2"/>
  <c r="P36" i="2"/>
  <c r="K36" i="2"/>
  <c r="J36" i="2"/>
  <c r="S36" i="2" s="1"/>
  <c r="S35" i="2"/>
  <c r="R35" i="2"/>
  <c r="Q35" i="2"/>
  <c r="P35" i="2"/>
  <c r="S34" i="2"/>
  <c r="R34" i="2"/>
  <c r="Q34" i="2"/>
  <c r="P34" i="2"/>
  <c r="S33" i="2"/>
  <c r="R33" i="2"/>
  <c r="Q33" i="2"/>
  <c r="P33" i="2"/>
  <c r="S32" i="2"/>
  <c r="R32" i="2"/>
  <c r="Q32" i="2"/>
  <c r="P32" i="2"/>
  <c r="S31" i="2"/>
  <c r="R31" i="2"/>
  <c r="Q31" i="2"/>
  <c r="P31" i="2"/>
  <c r="S30" i="2"/>
  <c r="R30" i="2"/>
  <c r="Q30" i="2"/>
  <c r="P30" i="2"/>
  <c r="S29" i="2"/>
  <c r="R29" i="2"/>
  <c r="Q29" i="2"/>
  <c r="P29" i="2"/>
  <c r="S28" i="2"/>
  <c r="R28" i="2"/>
  <c r="Q28" i="2"/>
  <c r="P28" i="2"/>
  <c r="S27" i="2"/>
  <c r="R27" i="2"/>
  <c r="Q27" i="2"/>
  <c r="P27" i="2"/>
  <c r="S26" i="2"/>
  <c r="R26" i="2"/>
  <c r="Q26" i="2"/>
  <c r="P26" i="2"/>
  <c r="S25" i="2"/>
  <c r="R25" i="2"/>
  <c r="Q25" i="2"/>
  <c r="P25" i="2"/>
  <c r="S24" i="2"/>
  <c r="R24" i="2"/>
  <c r="Q24" i="2"/>
  <c r="P24" i="2"/>
  <c r="S23" i="2"/>
  <c r="R23" i="2"/>
  <c r="Q23" i="2"/>
  <c r="P23" i="2"/>
  <c r="S22" i="2"/>
  <c r="R22" i="2"/>
  <c r="Q22" i="2"/>
  <c r="P22" i="2"/>
  <c r="S21" i="2"/>
  <c r="R21" i="2"/>
  <c r="Q21" i="2"/>
  <c r="P21" i="2"/>
  <c r="S20" i="2"/>
  <c r="R20" i="2"/>
  <c r="Q20" i="2"/>
  <c r="P20" i="2"/>
  <c r="S19" i="2"/>
  <c r="R19" i="2"/>
  <c r="Q19" i="2"/>
  <c r="P19" i="2"/>
  <c r="S18" i="2"/>
  <c r="R18" i="2"/>
  <c r="Q18" i="2"/>
  <c r="P18" i="2"/>
  <c r="S17" i="2"/>
  <c r="R17" i="2"/>
  <c r="Q17" i="2"/>
  <c r="P17" i="2"/>
  <c r="S16" i="2"/>
  <c r="R16" i="2"/>
  <c r="Q16" i="2"/>
  <c r="P16" i="2"/>
  <c r="S15" i="2"/>
  <c r="R15" i="2"/>
  <c r="Q15" i="2"/>
  <c r="P15" i="2"/>
  <c r="S14" i="2"/>
  <c r="R14" i="2"/>
  <c r="Q14" i="2"/>
  <c r="P14" i="2"/>
  <c r="S13" i="2"/>
  <c r="R13" i="2"/>
  <c r="Q13" i="2"/>
  <c r="P13" i="2"/>
  <c r="S12" i="2"/>
  <c r="R12" i="2"/>
  <c r="Q12" i="2"/>
  <c r="P12" i="2"/>
  <c r="S11" i="2"/>
  <c r="R11" i="2"/>
  <c r="Q11" i="2"/>
  <c r="P11" i="2"/>
  <c r="S10" i="2"/>
  <c r="R10" i="2"/>
  <c r="Q10" i="2"/>
  <c r="P10" i="2"/>
  <c r="S9" i="2"/>
  <c r="R9" i="2"/>
  <c r="Q9" i="2"/>
  <c r="P9" i="2"/>
  <c r="S8" i="2"/>
  <c r="R8" i="2"/>
  <c r="Q8" i="2"/>
  <c r="P8" i="2"/>
  <c r="S7" i="2"/>
  <c r="R7" i="2"/>
  <c r="Q7" i="2"/>
  <c r="P7" i="2"/>
  <c r="S6" i="2"/>
  <c r="R6" i="2"/>
  <c r="Q6" i="2"/>
  <c r="P6" i="2"/>
  <c r="S5" i="2"/>
  <c r="R5" i="2"/>
  <c r="Q5" i="2"/>
  <c r="P5" i="2"/>
  <c r="S4" i="2"/>
  <c r="R4" i="2"/>
  <c r="Q4" i="2"/>
  <c r="P4" i="2"/>
  <c r="S3" i="2"/>
  <c r="R3" i="2"/>
  <c r="Q3" i="2"/>
  <c r="P3" i="2"/>
  <c r="S2" i="2"/>
  <c r="R2" i="2"/>
  <c r="Q2" i="2"/>
  <c r="P2" i="2"/>
  <c r="O132" i="2" l="1"/>
  <c r="O134" i="2"/>
  <c r="O135" i="2"/>
  <c r="O136" i="2"/>
  <c r="O138" i="2"/>
  <c r="N36" i="2"/>
  <c r="O258" i="2"/>
  <c r="O259" i="2"/>
  <c r="O260" i="2"/>
  <c r="O265" i="2"/>
  <c r="O267" i="2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R2" i="3"/>
  <c r="Q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2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39" i="3"/>
  <c r="N240" i="3"/>
  <c r="N241" i="3"/>
  <c r="N242" i="3"/>
  <c r="N243" i="3"/>
  <c r="N244" i="3"/>
  <c r="N245" i="3"/>
  <c r="N246" i="3"/>
  <c r="N247" i="3"/>
  <c r="N248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192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21" i="3"/>
  <c r="N61" i="3"/>
  <c r="N60" i="3"/>
  <c r="N59" i="3"/>
  <c r="N57" i="3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R2" i="1"/>
  <c r="Q2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2" i="1"/>
  <c r="N61" i="1"/>
  <c r="N60" i="1"/>
  <c r="N59" i="1"/>
  <c r="N58" i="1"/>
</calcChain>
</file>

<file path=xl/sharedStrings.xml><?xml version="1.0" encoding="utf-8"?>
<sst xmlns="http://schemas.openxmlformats.org/spreadsheetml/2006/main" count="197" uniqueCount="40">
  <si>
    <t>jan</t>
  </si>
  <si>
    <t>feb</t>
  </si>
  <si>
    <t>mar</t>
  </si>
  <si>
    <t>apr</t>
  </si>
  <si>
    <t>maj</t>
  </si>
  <si>
    <t>jun</t>
  </si>
  <si>
    <t>jul</t>
  </si>
  <si>
    <t>avg</t>
  </si>
  <si>
    <t>sep</t>
  </si>
  <si>
    <t xml:space="preserve">okt </t>
  </si>
  <si>
    <t>nov</t>
  </si>
  <si>
    <t>dec</t>
  </si>
  <si>
    <t>god</t>
  </si>
  <si>
    <t>ZIMA</t>
  </si>
  <si>
    <t>PROLECE</t>
  </si>
  <si>
    <t>LETO</t>
  </si>
  <si>
    <t>JESEN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</si>
  <si>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</si>
  <si>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</si>
  <si>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</si>
  <si>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</si>
  <si>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</si>
  <si>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</si>
  <si>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</si>
  <si>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</si>
  <si>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</si>
  <si>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</si>
  <si>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</si>
  <si>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</si>
  <si>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г.</t>
  </si>
  <si>
    <t>DOBOJ</t>
  </si>
  <si>
    <t>TUZLA</t>
  </si>
  <si>
    <t>ZENICA</t>
  </si>
  <si>
    <t>SARAJEVO</t>
  </si>
  <si>
    <t>BJELASNICA</t>
  </si>
  <si>
    <t>y</t>
  </si>
  <si>
    <t>winter</t>
  </si>
  <si>
    <t>spring</t>
  </si>
  <si>
    <t>summer</t>
  </si>
  <si>
    <t>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</si>
</sst>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12"/>
      <color indexed="8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3" borderId="1" xfId="0" applyNumberFormat="1" applyFill="1" applyBorder="1"/>
    <xf numFmtId="0" fontId="0" fillId="0" borderId="1" xfId="0" applyBorder="1" applyAlignment="1">
      <alignment horizontal="center"/>
    </xf>
    <xf numFmtId="164" fontId="1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  <xf numFmtId="164" fontId="1" fillId="4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0" xfId="0" applyFill="1"/>
    <xf numFmtId="164" fontId="0" fillId="2" borderId="0" xfId="0" applyNumberFormat="1" applyFill="1"/>
    <xf numFmtId="0" fontId="0" fillId="3" borderId="1" xfId="0" applyFill="1" applyBorder="1"/>
    <xf numFmtId="164" fontId="0" fillId="3" borderId="0" xfId="0" applyNumberFormat="1" applyFill="1"/>
    <xf numFmtId="1" fontId="0" fillId="0" borderId="0" xfId="0" applyNumberFormat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0A8F-F83A-694B-9170-6F7B7A498D3A}">
  <dimension ref="A1:R63"/>
  <sheetViews>
    <sheetView topLeftCell="A32" zoomScale="87" workbookViewId="0">
      <selection activeCell="C66" sqref="C66"/>
    </sheetView>
  </sheetViews>
  <sheetFormatPr baseColWidth="10" defaultRowHeight="16" x14ac:dyDescent="0.2"/>
  <sheetData>
    <row r="1" spans="1:18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2" spans="1:18" x14ac:dyDescent="0.2">
      <c r="A2" s="1">
        <v>1961</v>
      </c>
      <c r="B2" s="2">
        <v>132.61352138078701</v>
      </c>
      <c r="C2" s="2">
        <v>163.04652695170714</v>
      </c>
      <c r="D2" s="2">
        <v>141.18468290121294</v>
      </c>
      <c r="E2" s="2">
        <v>115.28448971046001</v>
      </c>
      <c r="F2" s="2">
        <v>352.81183261142581</v>
      </c>
      <c r="G2" s="2">
        <v>127.70215707914002</v>
      </c>
      <c r="H2" s="2">
        <v>50.681535755419368</v>
      </c>
      <c r="I2" s="2">
        <v>31.375695633232255</v>
      </c>
      <c r="J2" s="2">
        <v>23.235843647246664</v>
      </c>
      <c r="K2" s="2">
        <v>72.962715615429047</v>
      </c>
      <c r="L2" s="2">
        <v>118.79158529665999</v>
      </c>
      <c r="M2" s="2">
        <v>137.42473801125485</v>
      </c>
      <c r="N2" s="2">
        <v>122.25961038283127</v>
      </c>
      <c r="O2" s="4">
        <f>(M2+B3+C3)/3</f>
        <v>179.93023904697404</v>
      </c>
      <c r="P2" s="4">
        <f>AVERAGE(D2:F2)</f>
        <v>203.0936684076996</v>
      </c>
      <c r="Q2" s="4">
        <f>AVERAGE(G2:I2)</f>
        <v>69.919796155930541</v>
      </c>
      <c r="R2" s="4">
        <f>AVERAGE(J2:L2)</f>
        <v>71.663381519778568</v>
      </c>
    </row>
    <row r="3" spans="1:18" x14ac:dyDescent="0.2">
      <c r="A3" s="1">
        <v>1962</v>
      </c>
      <c r="B3" s="2">
        <v>174.9605988258387</v>
      </c>
      <c r="C3" s="2">
        <v>227.40538030382859</v>
      </c>
      <c r="D3" s="2">
        <v>461.00332263334838</v>
      </c>
      <c r="E3" s="2">
        <v>536.65817488695677</v>
      </c>
      <c r="F3" s="2">
        <v>165.33683691778714</v>
      </c>
      <c r="G3" s="2">
        <v>74.746293120866667</v>
      </c>
      <c r="H3" s="2">
        <v>62.315157261470958</v>
      </c>
      <c r="I3" s="2">
        <v>29.710384429174191</v>
      </c>
      <c r="J3" s="2">
        <v>22.977966237553339</v>
      </c>
      <c r="K3" s="2">
        <v>24.709254034516125</v>
      </c>
      <c r="L3" s="2">
        <v>119.32901532199334</v>
      </c>
      <c r="M3" s="2">
        <v>184.90979540152904</v>
      </c>
      <c r="N3" s="2">
        <v>173.6718482812386</v>
      </c>
      <c r="O3" s="4">
        <f t="shared" ref="O3:O60" si="0">(M3+B4+C4)/3</f>
        <v>292.52546679272564</v>
      </c>
      <c r="P3" s="4">
        <f t="shared" ref="P3:P61" si="1">AVERAGE(D3:F3)</f>
        <v>387.66611147936413</v>
      </c>
      <c r="Q3" s="4">
        <f t="shared" ref="Q3:Q61" si="2">AVERAGE(G3:I3)</f>
        <v>55.590611603837267</v>
      </c>
      <c r="R3" s="4">
        <f t="shared" ref="R3:R61" si="3">AVERAGE(J3:L3)</f>
        <v>55.672078531354266</v>
      </c>
    </row>
    <row r="4" spans="1:18" x14ac:dyDescent="0.2">
      <c r="A4" s="1">
        <v>1963</v>
      </c>
      <c r="B4" s="2">
        <v>292.05537405135152</v>
      </c>
      <c r="C4" s="2">
        <v>400.61123092529641</v>
      </c>
      <c r="D4" s="2">
        <v>265.9981444286226</v>
      </c>
      <c r="E4" s="2">
        <v>277.31132647651674</v>
      </c>
      <c r="F4" s="2">
        <v>163.45864587725163</v>
      </c>
      <c r="G4" s="2">
        <v>154.90876166681335</v>
      </c>
      <c r="H4" s="2">
        <v>67.40485198612258</v>
      </c>
      <c r="I4" s="2">
        <v>43.704087505612904</v>
      </c>
      <c r="J4" s="2">
        <v>40.935988847033322</v>
      </c>
      <c r="K4" s="2">
        <v>36.103413214967745</v>
      </c>
      <c r="L4" s="2">
        <v>57.150729640153337</v>
      </c>
      <c r="M4" s="2">
        <v>116.18395895860647</v>
      </c>
      <c r="N4" s="2">
        <v>159.65220946486238</v>
      </c>
      <c r="O4" s="4">
        <f t="shared" si="0"/>
        <v>122.27621572841184</v>
      </c>
      <c r="P4" s="4">
        <f t="shared" si="1"/>
        <v>235.58937226079698</v>
      </c>
      <c r="Q4" s="4">
        <f t="shared" si="2"/>
        <v>88.672567052849615</v>
      </c>
      <c r="R4" s="4">
        <f t="shared" si="3"/>
        <v>44.730043900718137</v>
      </c>
    </row>
    <row r="5" spans="1:18" x14ac:dyDescent="0.2">
      <c r="A5" s="1">
        <v>1964</v>
      </c>
      <c r="B5" s="2">
        <v>66.166713078929035</v>
      </c>
      <c r="C5" s="2">
        <v>184.47797514770002</v>
      </c>
      <c r="D5" s="2">
        <v>311.72182482281301</v>
      </c>
      <c r="E5" s="2">
        <v>195.77285339594994</v>
      </c>
      <c r="F5" s="2">
        <v>163.22195180908713</v>
      </c>
      <c r="G5" s="2">
        <v>172.46911898290998</v>
      </c>
      <c r="H5" s="2">
        <v>133.83448354793222</v>
      </c>
      <c r="I5" s="2">
        <v>88.225420220532271</v>
      </c>
      <c r="J5" s="2">
        <v>69.614406138813351</v>
      </c>
      <c r="K5" s="2">
        <v>284.34291145017744</v>
      </c>
      <c r="L5" s="2">
        <v>374.65951749918992</v>
      </c>
      <c r="M5" s="2">
        <v>389.32950402523869</v>
      </c>
      <c r="N5" s="2">
        <v>202.81972334327273</v>
      </c>
      <c r="O5" s="4">
        <f t="shared" si="0"/>
        <v>274.87465438232624</v>
      </c>
      <c r="P5" s="4">
        <f t="shared" si="1"/>
        <v>223.57221000928337</v>
      </c>
      <c r="Q5" s="4">
        <f t="shared" si="2"/>
        <v>131.50967425045818</v>
      </c>
      <c r="R5" s="4">
        <f t="shared" si="3"/>
        <v>242.87227836272692</v>
      </c>
    </row>
    <row r="6" spans="1:18" x14ac:dyDescent="0.2">
      <c r="A6" s="1">
        <v>1965</v>
      </c>
      <c r="B6" s="2">
        <v>225.4542780018935</v>
      </c>
      <c r="C6" s="2">
        <v>209.84018111984642</v>
      </c>
      <c r="D6" s="2">
        <v>377.11367430143872</v>
      </c>
      <c r="E6" s="2">
        <v>299.52468425030332</v>
      </c>
      <c r="F6" s="2">
        <v>541.02696831074513</v>
      </c>
      <c r="G6" s="2">
        <v>156.71449197042003</v>
      </c>
      <c r="H6" s="2">
        <v>65.421815670887113</v>
      </c>
      <c r="I6" s="2">
        <v>39.188757548325803</v>
      </c>
      <c r="J6" s="2">
        <v>59.100297613693314</v>
      </c>
      <c r="K6" s="2">
        <v>34.079253074583868</v>
      </c>
      <c r="L6" s="2">
        <v>95.686935768420014</v>
      </c>
      <c r="M6" s="2">
        <v>233.32029698944834</v>
      </c>
      <c r="N6" s="2">
        <v>194.70596955166715</v>
      </c>
      <c r="O6" s="4">
        <f t="shared" si="0"/>
        <v>215.32194561970451</v>
      </c>
      <c r="P6" s="4">
        <f t="shared" si="1"/>
        <v>405.88844228749576</v>
      </c>
      <c r="Q6" s="4">
        <f t="shared" si="2"/>
        <v>87.108355063210979</v>
      </c>
      <c r="R6" s="4">
        <f t="shared" si="3"/>
        <v>62.955495485565734</v>
      </c>
    </row>
    <row r="7" spans="1:18" x14ac:dyDescent="0.2">
      <c r="A7" s="1">
        <v>1966</v>
      </c>
      <c r="B7" s="2">
        <v>138.04371995575809</v>
      </c>
      <c r="C7" s="2">
        <v>274.60181991390715</v>
      </c>
      <c r="D7" s="2">
        <v>242.30658109535813</v>
      </c>
      <c r="E7" s="2">
        <v>305.84271821856998</v>
      </c>
      <c r="F7" s="2">
        <v>230.65702949905804</v>
      </c>
      <c r="G7" s="2">
        <v>104.56251200231333</v>
      </c>
      <c r="H7" s="2">
        <v>84.775612636906445</v>
      </c>
      <c r="I7" s="2">
        <v>57.732756140958053</v>
      </c>
      <c r="J7" s="2">
        <v>43.685998194666666</v>
      </c>
      <c r="K7" s="2">
        <v>42.442777369396765</v>
      </c>
      <c r="L7" s="2">
        <v>135.82219375642666</v>
      </c>
      <c r="M7" s="2">
        <v>215.11928867549355</v>
      </c>
      <c r="N7" s="2">
        <v>156.29941728823442</v>
      </c>
      <c r="O7" s="4">
        <f t="shared" si="0"/>
        <v>181.00045751781911</v>
      </c>
      <c r="P7" s="4">
        <f t="shared" si="1"/>
        <v>259.60210960432875</v>
      </c>
      <c r="Q7" s="4">
        <f t="shared" si="2"/>
        <v>82.356960260059267</v>
      </c>
      <c r="R7" s="4">
        <f t="shared" si="3"/>
        <v>73.983656440163358</v>
      </c>
    </row>
    <row r="8" spans="1:18" x14ac:dyDescent="0.2">
      <c r="A8" s="1">
        <v>1967</v>
      </c>
      <c r="B8" s="2">
        <v>137.85370737877099</v>
      </c>
      <c r="C8" s="2">
        <v>190.02837649919283</v>
      </c>
      <c r="D8" s="2">
        <v>321.17406641364846</v>
      </c>
      <c r="E8" s="2">
        <v>382.07395466355013</v>
      </c>
      <c r="F8" s="2">
        <v>209.46335270142259</v>
      </c>
      <c r="G8" s="2">
        <v>159.73590170732666</v>
      </c>
      <c r="H8" s="2">
        <v>165.27471088585159</v>
      </c>
      <c r="I8" s="2">
        <v>44.838852584832274</v>
      </c>
      <c r="J8" s="2">
        <v>41.223684474599992</v>
      </c>
      <c r="K8" s="2">
        <v>31.574650649999995</v>
      </c>
      <c r="L8" s="2">
        <v>34.614007375180002</v>
      </c>
      <c r="M8" s="2">
        <v>157.08871795693545</v>
      </c>
      <c r="N8" s="2">
        <v>156.24533194094261</v>
      </c>
      <c r="O8" s="4">
        <f t="shared" si="0"/>
        <v>256.64192820524477</v>
      </c>
      <c r="P8" s="4">
        <f t="shared" si="1"/>
        <v>304.23712459287373</v>
      </c>
      <c r="Q8" s="4">
        <f t="shared" si="2"/>
        <v>123.28315505933686</v>
      </c>
      <c r="R8" s="4">
        <f t="shared" si="3"/>
        <v>35.80411416659333</v>
      </c>
    </row>
    <row r="9" spans="1:18" x14ac:dyDescent="0.2">
      <c r="A9" s="1">
        <v>1968</v>
      </c>
      <c r="B9" s="2">
        <v>232.0045161257645</v>
      </c>
      <c r="C9" s="2">
        <v>380.83255053303441</v>
      </c>
      <c r="D9" s="2">
        <v>196.10652676413221</v>
      </c>
      <c r="E9" s="2">
        <v>141.71208714847998</v>
      </c>
      <c r="F9" s="2">
        <v>89.643304135654844</v>
      </c>
      <c r="G9" s="2">
        <v>174.13194084271331</v>
      </c>
      <c r="H9" s="2">
        <v>62.440068658461286</v>
      </c>
      <c r="I9" s="2">
        <v>125.98324796914514</v>
      </c>
      <c r="J9" s="2">
        <v>158.48126343732665</v>
      </c>
      <c r="K9" s="2">
        <v>111.56421083841614</v>
      </c>
      <c r="L9" s="2">
        <v>313.98810473315666</v>
      </c>
      <c r="M9" s="2">
        <v>322.35861276625803</v>
      </c>
      <c r="N9" s="2">
        <v>192.43720282937861</v>
      </c>
      <c r="O9" s="4">
        <f t="shared" si="0"/>
        <v>302.54389555214971</v>
      </c>
      <c r="P9" s="4">
        <f t="shared" si="1"/>
        <v>142.48730601608901</v>
      </c>
      <c r="Q9" s="4">
        <f t="shared" si="2"/>
        <v>120.85175249010656</v>
      </c>
      <c r="R9" s="4">
        <f t="shared" si="3"/>
        <v>194.67785966963314</v>
      </c>
    </row>
    <row r="10" spans="1:18" x14ac:dyDescent="0.2">
      <c r="A10" s="1">
        <v>1969</v>
      </c>
      <c r="B10" s="2">
        <v>173.11720889162908</v>
      </c>
      <c r="C10" s="2">
        <v>412.15586499856204</v>
      </c>
      <c r="D10" s="2">
        <v>294.42573277852904</v>
      </c>
      <c r="E10" s="2">
        <v>279.93415181430674</v>
      </c>
      <c r="F10" s="2">
        <v>170.38076035677099</v>
      </c>
      <c r="G10" s="2">
        <v>199.24735551876995</v>
      </c>
      <c r="H10" s="2">
        <v>161.25182924317417</v>
      </c>
      <c r="I10" s="2">
        <v>95.385378375319348</v>
      </c>
      <c r="J10" s="2">
        <v>108.87950825013331</v>
      </c>
      <c r="K10" s="2">
        <v>48.561137061751595</v>
      </c>
      <c r="L10" s="2">
        <v>79.053876268526636</v>
      </c>
      <c r="M10" s="2">
        <v>176.22327483276777</v>
      </c>
      <c r="N10" s="2">
        <v>183.21800653252004</v>
      </c>
      <c r="O10" s="4">
        <f t="shared" si="0"/>
        <v>404.48152492922765</v>
      </c>
      <c r="P10" s="4">
        <f t="shared" si="1"/>
        <v>248.24688164986893</v>
      </c>
      <c r="Q10" s="4">
        <f t="shared" si="2"/>
        <v>151.96152104575449</v>
      </c>
      <c r="R10" s="4">
        <f t="shared" si="3"/>
        <v>78.831507193470514</v>
      </c>
    </row>
    <row r="11" spans="1:18" x14ac:dyDescent="0.2">
      <c r="A11" s="1">
        <v>1970</v>
      </c>
      <c r="B11" s="2">
        <v>615.39359061479024</v>
      </c>
      <c r="C11" s="2">
        <v>421.82770934012507</v>
      </c>
      <c r="D11" s="2">
        <v>403.6937894550839</v>
      </c>
      <c r="E11" s="2">
        <v>436.96443987331679</v>
      </c>
      <c r="F11" s="2">
        <v>276.55848767786779</v>
      </c>
      <c r="G11" s="2">
        <v>177.33414909381332</v>
      </c>
      <c r="H11" s="2">
        <v>152.23395035714194</v>
      </c>
      <c r="I11" s="2">
        <v>62.110383888825794</v>
      </c>
      <c r="J11" s="2">
        <v>41.973676402173318</v>
      </c>
      <c r="K11" s="2">
        <v>74.750814628651611</v>
      </c>
      <c r="L11" s="2">
        <v>125.85242050175999</v>
      </c>
      <c r="M11" s="2">
        <v>115.86736547099677</v>
      </c>
      <c r="N11" s="2">
        <v>242.0467314420456</v>
      </c>
      <c r="O11" s="4">
        <f t="shared" si="0"/>
        <v>191.9879827317526</v>
      </c>
      <c r="P11" s="4">
        <f t="shared" si="1"/>
        <v>372.40557233542285</v>
      </c>
      <c r="Q11" s="4">
        <f t="shared" si="2"/>
        <v>130.5594944465937</v>
      </c>
      <c r="R11" s="4">
        <f t="shared" si="3"/>
        <v>80.858970510861639</v>
      </c>
    </row>
    <row r="12" spans="1:18" x14ac:dyDescent="0.2">
      <c r="A12" s="1">
        <v>1971</v>
      </c>
      <c r="B12" s="2">
        <v>243.26755843609675</v>
      </c>
      <c r="C12" s="2">
        <v>216.82902428816425</v>
      </c>
      <c r="D12" s="2">
        <v>232.65554654510001</v>
      </c>
      <c r="E12" s="2">
        <v>263.91975608399667</v>
      </c>
      <c r="F12" s="2">
        <v>111.07028898835159</v>
      </c>
      <c r="G12" s="2">
        <v>72.008704565326667</v>
      </c>
      <c r="H12" s="2">
        <v>33.367713258229024</v>
      </c>
      <c r="I12" s="2">
        <v>30.584695322035472</v>
      </c>
      <c r="J12" s="2">
        <v>55.670038141086664</v>
      </c>
      <c r="K12" s="2">
        <v>70.888943898106461</v>
      </c>
      <c r="L12" s="2">
        <v>102.53960625617998</v>
      </c>
      <c r="M12" s="2">
        <v>158.35225370044836</v>
      </c>
      <c r="N12" s="2">
        <v>132.59617745692682</v>
      </c>
      <c r="O12" s="4">
        <f t="shared" si="0"/>
        <v>112.02435303354997</v>
      </c>
      <c r="P12" s="4">
        <f t="shared" si="1"/>
        <v>202.5485305391494</v>
      </c>
      <c r="Q12" s="4">
        <f t="shared" si="2"/>
        <v>45.320371048530397</v>
      </c>
      <c r="R12" s="4">
        <f t="shared" si="3"/>
        <v>76.366196098457706</v>
      </c>
    </row>
    <row r="13" spans="1:18" x14ac:dyDescent="0.2">
      <c r="A13" s="1">
        <v>1972</v>
      </c>
      <c r="B13" s="2">
        <v>79.529268741377422</v>
      </c>
      <c r="C13" s="2">
        <v>98.191536658824148</v>
      </c>
      <c r="D13" s="2">
        <v>87.441759569532266</v>
      </c>
      <c r="E13" s="2">
        <v>150.46268018021999</v>
      </c>
      <c r="F13" s="2">
        <v>151.80328637834197</v>
      </c>
      <c r="G13" s="2">
        <v>64.326442327620001</v>
      </c>
      <c r="H13" s="2">
        <v>175.45737491050321</v>
      </c>
      <c r="I13" s="2">
        <v>291.58976355737417</v>
      </c>
      <c r="J13" s="2">
        <v>177.90625954197</v>
      </c>
      <c r="K13" s="2">
        <v>224.11763409098393</v>
      </c>
      <c r="L13" s="2">
        <v>201.23412982313002</v>
      </c>
      <c r="M13" s="2">
        <v>188.61098765179034</v>
      </c>
      <c r="N13" s="2">
        <v>157.55592695263894</v>
      </c>
      <c r="O13" s="4">
        <f t="shared" si="0"/>
        <v>149.15988152263094</v>
      </c>
      <c r="P13" s="4">
        <f t="shared" si="1"/>
        <v>129.90257537603142</v>
      </c>
      <c r="Q13" s="4">
        <f t="shared" si="2"/>
        <v>177.12452693183249</v>
      </c>
      <c r="R13" s="4">
        <f t="shared" si="3"/>
        <v>201.08600781869464</v>
      </c>
    </row>
    <row r="14" spans="1:18" x14ac:dyDescent="0.2">
      <c r="A14" s="1">
        <v>1973</v>
      </c>
      <c r="B14" s="2">
        <v>75.411265789164517</v>
      </c>
      <c r="C14" s="2">
        <v>183.45739112693798</v>
      </c>
      <c r="D14" s="2">
        <v>233.88135238949678</v>
      </c>
      <c r="E14" s="2">
        <v>388.95557392157997</v>
      </c>
      <c r="F14" s="2">
        <v>168.91168471405157</v>
      </c>
      <c r="G14" s="2">
        <v>85.583877839753356</v>
      </c>
      <c r="H14" s="2">
        <v>55.057817552138715</v>
      </c>
      <c r="I14" s="2">
        <v>42.938519171074205</v>
      </c>
      <c r="J14" s="2">
        <v>62.29865611810667</v>
      </c>
      <c r="K14" s="2">
        <v>57.292529254861293</v>
      </c>
      <c r="L14" s="2">
        <v>74.186152049260002</v>
      </c>
      <c r="M14" s="2">
        <v>188.19852458479355</v>
      </c>
      <c r="N14" s="2">
        <v>134.68111204260154</v>
      </c>
      <c r="O14" s="4">
        <f t="shared" si="0"/>
        <v>206.73137829477631</v>
      </c>
      <c r="P14" s="4">
        <f t="shared" si="1"/>
        <v>263.91620367504277</v>
      </c>
      <c r="Q14" s="4">
        <f t="shared" si="2"/>
        <v>61.193404854322097</v>
      </c>
      <c r="R14" s="4">
        <f t="shared" si="3"/>
        <v>64.59244580740932</v>
      </c>
    </row>
    <row r="15" spans="1:18" x14ac:dyDescent="0.2">
      <c r="A15" s="1">
        <v>1974</v>
      </c>
      <c r="B15" s="2">
        <v>212.73063612800325</v>
      </c>
      <c r="C15" s="2">
        <v>219.26497417153215</v>
      </c>
      <c r="D15" s="2">
        <v>137.79579272859681</v>
      </c>
      <c r="E15" s="2">
        <v>160.31358630414667</v>
      </c>
      <c r="F15" s="2">
        <v>246.63736976582584</v>
      </c>
      <c r="G15" s="2">
        <v>206.7312255322</v>
      </c>
      <c r="H15" s="2">
        <v>140.42852111661293</v>
      </c>
      <c r="I15" s="2">
        <v>59.809352164793566</v>
      </c>
      <c r="J15" s="2">
        <v>64.029347528906655</v>
      </c>
      <c r="K15" s="2">
        <v>287.50271369259997</v>
      </c>
      <c r="L15" s="2">
        <v>236.32413976058672</v>
      </c>
      <c r="M15" s="2">
        <v>208.19399552172581</v>
      </c>
      <c r="N15" s="2">
        <v>181.64680453462753</v>
      </c>
      <c r="O15" s="4">
        <f t="shared" si="0"/>
        <v>149.32052861266993</v>
      </c>
      <c r="P15" s="4">
        <f t="shared" si="1"/>
        <v>181.58224959952312</v>
      </c>
      <c r="Q15" s="4">
        <f t="shared" si="2"/>
        <v>135.65636627120216</v>
      </c>
      <c r="R15" s="4">
        <f t="shared" si="3"/>
        <v>195.95206699403113</v>
      </c>
    </row>
    <row r="16" spans="1:18" x14ac:dyDescent="0.2">
      <c r="A16" s="1">
        <v>1975</v>
      </c>
      <c r="B16" s="2">
        <v>134.91299966211614</v>
      </c>
      <c r="C16" s="2">
        <v>104.85459065416785</v>
      </c>
      <c r="D16" s="2">
        <v>186.8146505912064</v>
      </c>
      <c r="E16" s="2">
        <v>240.17619438000671</v>
      </c>
      <c r="F16" s="2">
        <v>194.65668054733229</v>
      </c>
      <c r="G16" s="2">
        <v>155.27366391225331</v>
      </c>
      <c r="H16" s="2">
        <v>127.12777029381934</v>
      </c>
      <c r="I16" s="2">
        <v>94.184540494970975</v>
      </c>
      <c r="J16" s="2">
        <v>72.840200704526694</v>
      </c>
      <c r="K16" s="2">
        <v>98.098362647170973</v>
      </c>
      <c r="L16" s="2">
        <v>130.11233901369999</v>
      </c>
      <c r="M16" s="2">
        <v>123.15961795875806</v>
      </c>
      <c r="N16" s="2">
        <v>138.51763423833572</v>
      </c>
      <c r="O16" s="4">
        <f t="shared" si="0"/>
        <v>124.36456822366779</v>
      </c>
      <c r="P16" s="4">
        <f t="shared" si="1"/>
        <v>207.21584183951515</v>
      </c>
      <c r="Q16" s="4">
        <f t="shared" si="2"/>
        <v>125.5286582336812</v>
      </c>
      <c r="R16" s="4">
        <f t="shared" si="3"/>
        <v>100.35030078846587</v>
      </c>
    </row>
    <row r="17" spans="1:18" x14ac:dyDescent="0.2">
      <c r="A17" s="1">
        <v>1976</v>
      </c>
      <c r="B17" s="2">
        <v>104.10687390189356</v>
      </c>
      <c r="C17" s="2">
        <v>145.82721281035174</v>
      </c>
      <c r="D17" s="2">
        <v>175.41722343788712</v>
      </c>
      <c r="E17" s="2">
        <v>259.96828910777998</v>
      </c>
      <c r="F17" s="2">
        <v>207.73087894670968</v>
      </c>
      <c r="G17" s="2">
        <v>230.28786660245348</v>
      </c>
      <c r="H17" s="2">
        <v>116.48456041366128</v>
      </c>
      <c r="I17" s="2">
        <v>129.85579561874516</v>
      </c>
      <c r="J17" s="2">
        <v>143.57830636643337</v>
      </c>
      <c r="K17" s="2">
        <v>101.41812985498061</v>
      </c>
      <c r="L17" s="2">
        <v>148.16178375404667</v>
      </c>
      <c r="M17" s="2">
        <v>383.53671070309667</v>
      </c>
      <c r="N17" s="2">
        <v>178.86446929316992</v>
      </c>
      <c r="O17" s="4">
        <f t="shared" si="0"/>
        <v>298.30941013790704</v>
      </c>
      <c r="P17" s="4">
        <f t="shared" si="1"/>
        <v>214.37213049745893</v>
      </c>
      <c r="Q17" s="4">
        <f t="shared" si="2"/>
        <v>158.87607421161997</v>
      </c>
      <c r="R17" s="4">
        <f t="shared" si="3"/>
        <v>131.0527399918202</v>
      </c>
    </row>
    <row r="18" spans="1:18" x14ac:dyDescent="0.2">
      <c r="A18" s="1">
        <v>1977</v>
      </c>
      <c r="B18" s="2">
        <v>217.67224058113868</v>
      </c>
      <c r="C18" s="2">
        <v>293.71927912948576</v>
      </c>
      <c r="D18" s="2">
        <v>184.28919135734512</v>
      </c>
      <c r="E18" s="2">
        <v>256.97800269414665</v>
      </c>
      <c r="F18" s="2">
        <v>119.08750498691612</v>
      </c>
      <c r="G18" s="2">
        <v>72.790106408093322</v>
      </c>
      <c r="H18" s="2">
        <v>83.800631499235465</v>
      </c>
      <c r="I18" s="2">
        <v>70.244202424532247</v>
      </c>
      <c r="J18" s="2">
        <v>115.69719114797002</v>
      </c>
      <c r="K18" s="2">
        <v>152.79289620362903</v>
      </c>
      <c r="L18" s="2">
        <v>174.68918959627337</v>
      </c>
      <c r="M18" s="2">
        <v>298.12763325673222</v>
      </c>
      <c r="N18" s="2">
        <v>169.99067244045816</v>
      </c>
      <c r="O18" s="4">
        <f t="shared" si="0"/>
        <v>305.15367248788363</v>
      </c>
      <c r="P18" s="4">
        <f t="shared" si="1"/>
        <v>186.78489967946928</v>
      </c>
      <c r="Q18" s="4">
        <f t="shared" si="2"/>
        <v>75.611646777287021</v>
      </c>
      <c r="R18" s="4">
        <f t="shared" si="3"/>
        <v>147.7264256492908</v>
      </c>
    </row>
    <row r="19" spans="1:18" x14ac:dyDescent="0.2">
      <c r="A19" s="1">
        <v>1978</v>
      </c>
      <c r="B19" s="2">
        <v>249.74052590742579</v>
      </c>
      <c r="C19" s="2">
        <v>367.59285829949289</v>
      </c>
      <c r="D19" s="2">
        <v>339.46346612026133</v>
      </c>
      <c r="E19" s="2">
        <v>279.73954775060332</v>
      </c>
      <c r="F19" s="2">
        <v>480.29059726320327</v>
      </c>
      <c r="G19" s="2">
        <v>365.4002117772767</v>
      </c>
      <c r="H19" s="2">
        <v>163.69875538406123</v>
      </c>
      <c r="I19" s="2">
        <v>61.431754933225832</v>
      </c>
      <c r="J19" s="2">
        <v>161.94398132056</v>
      </c>
      <c r="K19" s="2">
        <v>99.181259615293527</v>
      </c>
      <c r="L19" s="2">
        <v>57.172111273326678</v>
      </c>
      <c r="M19" s="2">
        <v>225.8670916016967</v>
      </c>
      <c r="N19" s="2">
        <v>237.62684677053562</v>
      </c>
      <c r="O19" s="4">
        <f t="shared" si="0"/>
        <v>285.66398898838912</v>
      </c>
      <c r="P19" s="4">
        <f t="shared" si="1"/>
        <v>366.4978703780227</v>
      </c>
      <c r="Q19" s="4">
        <f t="shared" si="2"/>
        <v>196.84357403152126</v>
      </c>
      <c r="R19" s="4">
        <f t="shared" si="3"/>
        <v>106.09911740306006</v>
      </c>
    </row>
    <row r="20" spans="1:18" x14ac:dyDescent="0.2">
      <c r="A20" s="1">
        <v>1979</v>
      </c>
      <c r="B20" s="2">
        <v>302.11143639920641</v>
      </c>
      <c r="C20" s="2">
        <v>329.01343896426425</v>
      </c>
      <c r="D20" s="2">
        <v>141.64131094456127</v>
      </c>
      <c r="E20" s="2">
        <v>215.33613830915337</v>
      </c>
      <c r="F20" s="2">
        <v>173.84762617972581</v>
      </c>
      <c r="G20" s="2">
        <v>82.803734245306686</v>
      </c>
      <c r="H20" s="2">
        <v>107.11245759510003</v>
      </c>
      <c r="I20" s="2">
        <v>53.274720067503218</v>
      </c>
      <c r="J20" s="2">
        <v>52.132840941833315</v>
      </c>
      <c r="K20" s="2">
        <v>93.805000256477399</v>
      </c>
      <c r="L20" s="2">
        <v>300.26830027681319</v>
      </c>
      <c r="M20" s="2">
        <v>181.10160165277097</v>
      </c>
      <c r="N20" s="2">
        <v>169.37071715272634</v>
      </c>
      <c r="O20" s="4">
        <f t="shared" si="0"/>
        <v>255.75756191469773</v>
      </c>
      <c r="P20" s="4">
        <f t="shared" si="1"/>
        <v>176.94169181114682</v>
      </c>
      <c r="Q20" s="4">
        <f t="shared" si="2"/>
        <v>81.06363730263665</v>
      </c>
      <c r="R20" s="4">
        <f t="shared" si="3"/>
        <v>148.73538049170796</v>
      </c>
    </row>
    <row r="21" spans="1:18" x14ac:dyDescent="0.2">
      <c r="A21" s="1">
        <v>1980</v>
      </c>
      <c r="B21" s="2">
        <v>237.94644706522905</v>
      </c>
      <c r="C21" s="2">
        <v>348.22463702609321</v>
      </c>
      <c r="D21" s="2">
        <v>207.20638305495802</v>
      </c>
      <c r="E21" s="2">
        <v>302.93256446657995</v>
      </c>
      <c r="F21" s="2">
        <v>426.09358745929347</v>
      </c>
      <c r="G21" s="2">
        <v>203.58421025695668</v>
      </c>
      <c r="H21" s="2">
        <v>88.98743991160643</v>
      </c>
      <c r="I21" s="2">
        <v>48.988503549322544</v>
      </c>
      <c r="J21" s="2">
        <v>43.982845122946635</v>
      </c>
      <c r="K21" s="2">
        <v>65.511885862632241</v>
      </c>
      <c r="L21" s="2">
        <v>215.31487411105996</v>
      </c>
      <c r="M21" s="2">
        <v>246.93341271230318</v>
      </c>
      <c r="N21" s="2">
        <v>202.97556588324846</v>
      </c>
      <c r="O21" s="4">
        <f t="shared" si="0"/>
        <v>203.69350712528717</v>
      </c>
      <c r="P21" s="4">
        <f t="shared" si="1"/>
        <v>312.07751166027714</v>
      </c>
      <c r="Q21" s="4">
        <f t="shared" si="2"/>
        <v>113.85338457262856</v>
      </c>
      <c r="R21" s="4">
        <f t="shared" si="3"/>
        <v>108.26986836554629</v>
      </c>
    </row>
    <row r="22" spans="1:18" x14ac:dyDescent="0.2">
      <c r="A22" s="1">
        <v>1981</v>
      </c>
      <c r="B22" s="2">
        <v>173.44997341802258</v>
      </c>
      <c r="C22" s="2">
        <v>190.69713524553572</v>
      </c>
      <c r="D22" s="2">
        <v>582.74070476696772</v>
      </c>
      <c r="E22" s="2">
        <v>245.38206148080334</v>
      </c>
      <c r="F22" s="2">
        <v>221.56666998951937</v>
      </c>
      <c r="G22" s="2">
        <v>185.58570950775666</v>
      </c>
      <c r="H22" s="2">
        <v>73.229409560612908</v>
      </c>
      <c r="I22" s="2">
        <v>67.9613553571903</v>
      </c>
      <c r="J22" s="2">
        <v>68.67072396015331</v>
      </c>
      <c r="K22" s="2">
        <v>101.9009510952032</v>
      </c>
      <c r="L22" s="2">
        <v>134.22127840482</v>
      </c>
      <c r="M22" s="2">
        <v>410.07854425875155</v>
      </c>
      <c r="N22" s="2">
        <v>204.62370975377803</v>
      </c>
      <c r="O22" s="4">
        <f t="shared" si="0"/>
        <v>224.9514828714274</v>
      </c>
      <c r="P22" s="4">
        <f t="shared" si="1"/>
        <v>349.89647874576349</v>
      </c>
      <c r="Q22" s="4">
        <f t="shared" si="2"/>
        <v>108.92549147518662</v>
      </c>
      <c r="R22" s="4">
        <f t="shared" si="3"/>
        <v>101.59765115339216</v>
      </c>
    </row>
    <row r="23" spans="1:18" x14ac:dyDescent="0.2">
      <c r="A23" s="1">
        <v>1982</v>
      </c>
      <c r="B23" s="2">
        <v>188.14571694798062</v>
      </c>
      <c r="C23" s="2">
        <v>76.630187407549997</v>
      </c>
      <c r="D23" s="2">
        <v>218.41396097216779</v>
      </c>
      <c r="E23" s="2">
        <v>308.12894121619667</v>
      </c>
      <c r="F23" s="2">
        <v>179.79860918833222</v>
      </c>
      <c r="G23" s="2">
        <v>116.05790499790663</v>
      </c>
      <c r="H23" s="2">
        <v>60.162541316512893</v>
      </c>
      <c r="I23" s="2">
        <v>59.140548906680607</v>
      </c>
      <c r="J23" s="2">
        <v>30.938679727469982</v>
      </c>
      <c r="K23" s="2">
        <v>73.97340505372901</v>
      </c>
      <c r="L23" s="2">
        <v>52.871629018866642</v>
      </c>
      <c r="M23" s="2">
        <v>122.57313755701934</v>
      </c>
      <c r="N23" s="2">
        <v>123.9029385258677</v>
      </c>
      <c r="O23" s="4">
        <f t="shared" si="0"/>
        <v>187.36557036009071</v>
      </c>
      <c r="P23" s="4">
        <f t="shared" si="1"/>
        <v>235.44717045889888</v>
      </c>
      <c r="Q23" s="4">
        <f t="shared" si="2"/>
        <v>78.453665073700037</v>
      </c>
      <c r="R23" s="4">
        <f t="shared" si="3"/>
        <v>52.594571266688547</v>
      </c>
    </row>
    <row r="24" spans="1:18" x14ac:dyDescent="0.2">
      <c r="A24" s="1">
        <v>1983</v>
      </c>
      <c r="B24" s="2">
        <v>138.20279018503868</v>
      </c>
      <c r="C24" s="2">
        <v>301.3207833382142</v>
      </c>
      <c r="D24" s="2">
        <v>184.00577411695483</v>
      </c>
      <c r="E24" s="2">
        <v>210.16218825353661</v>
      </c>
      <c r="F24" s="2">
        <v>87.994151132541901</v>
      </c>
      <c r="G24" s="2">
        <v>119.79609471215663</v>
      </c>
      <c r="H24" s="2">
        <v>85.727667317548352</v>
      </c>
      <c r="I24" s="2">
        <v>49.304838492622551</v>
      </c>
      <c r="J24" s="2">
        <v>81.83303487939331</v>
      </c>
      <c r="K24" s="2">
        <v>50.332331551074169</v>
      </c>
      <c r="L24" s="2">
        <v>62.345468387356654</v>
      </c>
      <c r="M24" s="2">
        <v>152.62967657038388</v>
      </c>
      <c r="N24" s="2">
        <v>126.97123324473517</v>
      </c>
      <c r="O24" s="4">
        <f t="shared" si="0"/>
        <v>204.90986533025512</v>
      </c>
      <c r="P24" s="4">
        <f t="shared" si="1"/>
        <v>160.72070450101111</v>
      </c>
      <c r="Q24" s="4">
        <f t="shared" si="2"/>
        <v>84.942866840775835</v>
      </c>
      <c r="R24" s="4">
        <f t="shared" si="3"/>
        <v>64.836944939274716</v>
      </c>
    </row>
    <row r="25" spans="1:18" x14ac:dyDescent="0.2">
      <c r="A25" s="1">
        <v>1984</v>
      </c>
      <c r="B25" s="2">
        <v>181.36227068391932</v>
      </c>
      <c r="C25" s="2">
        <v>280.73764873646212</v>
      </c>
      <c r="D25" s="2">
        <v>361.93783717954506</v>
      </c>
      <c r="E25" s="2">
        <v>402.04005853081998</v>
      </c>
      <c r="F25" s="2">
        <v>250.38860109541289</v>
      </c>
      <c r="G25" s="2">
        <v>126.37707577828665</v>
      </c>
      <c r="H25" s="2">
        <v>85.876948910654804</v>
      </c>
      <c r="I25" s="2">
        <v>77.034245021064493</v>
      </c>
      <c r="J25" s="2">
        <v>74.292636386046667</v>
      </c>
      <c r="K25" s="2">
        <v>237.28636932626449</v>
      </c>
      <c r="L25" s="2">
        <v>86.324309184960001</v>
      </c>
      <c r="M25" s="2">
        <v>65.945865602270942</v>
      </c>
      <c r="N25" s="2">
        <v>185.80032220297562</v>
      </c>
      <c r="O25" s="4">
        <f t="shared" si="0"/>
        <v>115.69870641833801</v>
      </c>
      <c r="P25" s="4">
        <f t="shared" si="1"/>
        <v>338.12216560192599</v>
      </c>
      <c r="Q25" s="4">
        <f t="shared" si="2"/>
        <v>96.42942323666864</v>
      </c>
      <c r="R25" s="4">
        <f t="shared" si="3"/>
        <v>132.63443829909039</v>
      </c>
    </row>
    <row r="26" spans="1:18" x14ac:dyDescent="0.2">
      <c r="A26" s="1">
        <v>1985</v>
      </c>
      <c r="B26" s="2">
        <v>153.69625585486452</v>
      </c>
      <c r="C26" s="2">
        <v>127.45399779787856</v>
      </c>
      <c r="D26" s="2">
        <v>250.93821532969352</v>
      </c>
      <c r="E26" s="2">
        <v>419.49665567268659</v>
      </c>
      <c r="F26" s="2">
        <v>204.94221184899675</v>
      </c>
      <c r="G26" s="2">
        <v>108.02369589467334</v>
      </c>
      <c r="H26" s="2">
        <v>60.895128610761276</v>
      </c>
      <c r="I26" s="2">
        <v>82.900524991922538</v>
      </c>
      <c r="J26" s="2">
        <v>58.813985671923319</v>
      </c>
      <c r="K26" s="2">
        <v>40.25211869109998</v>
      </c>
      <c r="L26" s="2">
        <v>128.22962974392331</v>
      </c>
      <c r="M26" s="2">
        <v>128.96090936005481</v>
      </c>
      <c r="N26" s="2">
        <v>147.05027745570655</v>
      </c>
      <c r="O26" s="4">
        <f t="shared" si="0"/>
        <v>196.07153254158149</v>
      </c>
      <c r="P26" s="4">
        <f t="shared" si="1"/>
        <v>291.79236095045894</v>
      </c>
      <c r="Q26" s="4">
        <f t="shared" si="2"/>
        <v>83.939783165785713</v>
      </c>
      <c r="R26" s="4">
        <f t="shared" si="3"/>
        <v>75.765244702315542</v>
      </c>
    </row>
    <row r="27" spans="1:18" x14ac:dyDescent="0.2">
      <c r="A27" s="1">
        <v>1986</v>
      </c>
      <c r="B27" s="2">
        <v>209.13692506109675</v>
      </c>
      <c r="C27" s="2">
        <v>250.11676320359285</v>
      </c>
      <c r="D27" s="2">
        <v>315.83444537889034</v>
      </c>
      <c r="E27" s="2">
        <v>259.02291064224005</v>
      </c>
      <c r="F27" s="2">
        <v>170.52240180864834</v>
      </c>
      <c r="G27" s="2">
        <v>195.52133201379664</v>
      </c>
      <c r="H27" s="2">
        <v>289.31625106878056</v>
      </c>
      <c r="I27" s="2">
        <v>85.547354782383877</v>
      </c>
      <c r="J27" s="2">
        <v>45.75140747138331</v>
      </c>
      <c r="K27" s="2">
        <v>54.511182350877398</v>
      </c>
      <c r="L27" s="2">
        <v>77.453702768986631</v>
      </c>
      <c r="M27" s="2">
        <v>60.963016880029009</v>
      </c>
      <c r="N27" s="2">
        <v>167.80814111922547</v>
      </c>
      <c r="O27" s="4">
        <f t="shared" si="0"/>
        <v>170.92923407402392</v>
      </c>
      <c r="P27" s="4">
        <f t="shared" si="1"/>
        <v>248.45991927659293</v>
      </c>
      <c r="Q27" s="4">
        <f t="shared" si="2"/>
        <v>190.12831262165369</v>
      </c>
      <c r="R27" s="4">
        <f t="shared" si="3"/>
        <v>59.238764197082446</v>
      </c>
    </row>
    <row r="28" spans="1:18" x14ac:dyDescent="0.2">
      <c r="A28" s="1">
        <v>1987</v>
      </c>
      <c r="B28" s="2">
        <v>184.92222385953551</v>
      </c>
      <c r="C28" s="2">
        <v>266.90246148250719</v>
      </c>
      <c r="D28" s="2">
        <v>176.943938915671</v>
      </c>
      <c r="E28" s="2">
        <v>369.04901747078674</v>
      </c>
      <c r="F28" s="2">
        <v>402.22960433765166</v>
      </c>
      <c r="G28" s="2">
        <v>130.14356202614999</v>
      </c>
      <c r="H28" s="2">
        <v>64.960180886367723</v>
      </c>
      <c r="I28" s="2">
        <v>48.469163434003178</v>
      </c>
      <c r="J28" s="2">
        <v>36.341156633876636</v>
      </c>
      <c r="K28" s="2">
        <v>34.294381775167714</v>
      </c>
      <c r="L28" s="2">
        <v>189.73414165033998</v>
      </c>
      <c r="M28" s="2">
        <v>173.55460020506129</v>
      </c>
      <c r="N28" s="2">
        <v>173.1287027230932</v>
      </c>
      <c r="O28" s="4">
        <f t="shared" si="0"/>
        <v>150.22480064828383</v>
      </c>
      <c r="P28" s="4">
        <f t="shared" si="1"/>
        <v>316.07418690803644</v>
      </c>
      <c r="Q28" s="4">
        <f t="shared" si="2"/>
        <v>81.190968782173627</v>
      </c>
      <c r="R28" s="4">
        <f t="shared" si="3"/>
        <v>86.789893353128107</v>
      </c>
    </row>
    <row r="29" spans="1:18" x14ac:dyDescent="0.2">
      <c r="A29" s="1">
        <v>1988</v>
      </c>
      <c r="B29" s="2">
        <v>121.89099104544194</v>
      </c>
      <c r="C29" s="2">
        <v>155.22881069434828</v>
      </c>
      <c r="D29" s="2">
        <v>403.61528757952908</v>
      </c>
      <c r="E29" s="2">
        <v>263.38547221726668</v>
      </c>
      <c r="F29" s="2">
        <v>152.20806641570002</v>
      </c>
      <c r="G29" s="2">
        <v>96.751053301559992</v>
      </c>
      <c r="H29" s="2">
        <v>44.395705813225788</v>
      </c>
      <c r="I29" s="2">
        <v>29.431195785370949</v>
      </c>
      <c r="J29" s="2">
        <v>57.831935841476636</v>
      </c>
      <c r="K29" s="2">
        <v>44.966523642145127</v>
      </c>
      <c r="L29" s="2">
        <v>58.205877485863311</v>
      </c>
      <c r="M29" s="2">
        <v>123.63721940172577</v>
      </c>
      <c r="N29" s="2">
        <v>129.29567826863777</v>
      </c>
      <c r="O29" s="4">
        <f t="shared" si="0"/>
        <v>89.666921798619512</v>
      </c>
      <c r="P29" s="4">
        <f t="shared" si="1"/>
        <v>273.06960873749864</v>
      </c>
      <c r="Q29" s="4">
        <f t="shared" si="2"/>
        <v>56.859318300052244</v>
      </c>
      <c r="R29" s="4">
        <f t="shared" si="3"/>
        <v>53.668112323161694</v>
      </c>
    </row>
    <row r="30" spans="1:18" x14ac:dyDescent="0.2">
      <c r="A30" s="1">
        <v>1989</v>
      </c>
      <c r="B30" s="2">
        <v>63.937498740293528</v>
      </c>
      <c r="C30" s="2">
        <v>81.426047253839258</v>
      </c>
      <c r="D30" s="2">
        <v>181.90617688772252</v>
      </c>
      <c r="E30" s="2">
        <v>86.842529829689994</v>
      </c>
      <c r="F30" s="2">
        <v>239.57016077576128</v>
      </c>
      <c r="G30" s="2">
        <v>195.90528566088662</v>
      </c>
      <c r="H30" s="2">
        <v>151.10331532266125</v>
      </c>
      <c r="I30" s="2">
        <v>173.23848943377413</v>
      </c>
      <c r="J30" s="2">
        <v>189.09724637961003</v>
      </c>
      <c r="K30" s="2">
        <v>288.87102246297081</v>
      </c>
      <c r="L30" s="2">
        <v>124.79511020259</v>
      </c>
      <c r="M30" s="2">
        <v>100.76421183206129</v>
      </c>
      <c r="N30" s="2">
        <v>156.4547578984884</v>
      </c>
      <c r="O30" s="4">
        <f t="shared" si="0"/>
        <v>87.78856520215578</v>
      </c>
      <c r="P30" s="4">
        <f t="shared" si="1"/>
        <v>169.4396224977246</v>
      </c>
      <c r="Q30" s="4">
        <f t="shared" si="2"/>
        <v>173.41569680577399</v>
      </c>
      <c r="R30" s="4">
        <f t="shared" si="3"/>
        <v>200.92112634839029</v>
      </c>
    </row>
    <row r="31" spans="1:18" x14ac:dyDescent="0.2">
      <c r="A31" s="1">
        <v>1990</v>
      </c>
      <c r="B31" s="2">
        <v>70.280009727309633</v>
      </c>
      <c r="C31" s="2">
        <v>92.321474047096416</v>
      </c>
      <c r="D31" s="2">
        <v>88.867162882293542</v>
      </c>
      <c r="E31" s="2">
        <v>156.56670811304667</v>
      </c>
      <c r="F31" s="2">
        <v>82.476067352835457</v>
      </c>
      <c r="G31" s="2">
        <v>73.790923768096661</v>
      </c>
      <c r="H31" s="2">
        <v>37.137510496338685</v>
      </c>
      <c r="I31" s="2">
        <v>23.879478618587072</v>
      </c>
      <c r="J31" s="2">
        <v>25.56720843357331</v>
      </c>
      <c r="K31" s="2">
        <v>30.09281856185158</v>
      </c>
      <c r="L31" s="2">
        <v>85.809066498159979</v>
      </c>
      <c r="M31" s="2">
        <v>190.0941573523161</v>
      </c>
      <c r="N31" s="2">
        <v>79.740215487625434</v>
      </c>
      <c r="O31" s="4">
        <f t="shared" si="0"/>
        <v>151.14891807833138</v>
      </c>
      <c r="P31" s="4">
        <f t="shared" si="1"/>
        <v>109.30331278272523</v>
      </c>
      <c r="Q31" s="4">
        <f t="shared" si="2"/>
        <v>44.935970961007477</v>
      </c>
      <c r="R31" s="4">
        <f t="shared" si="3"/>
        <v>47.156364497861624</v>
      </c>
    </row>
    <row r="32" spans="1:18" x14ac:dyDescent="0.2">
      <c r="A32" s="1">
        <v>1991</v>
      </c>
      <c r="B32" s="2">
        <v>160.59633788575167</v>
      </c>
      <c r="C32" s="2">
        <v>102.75625899692635</v>
      </c>
      <c r="D32" s="2">
        <v>149.77822890824359</v>
      </c>
      <c r="E32" s="2">
        <v>294.22160295926068</v>
      </c>
      <c r="F32" s="2">
        <v>407.43288287057084</v>
      </c>
      <c r="G32" s="2">
        <v>224.79923800853615</v>
      </c>
      <c r="H32" s="2">
        <v>318.75312941338228</v>
      </c>
      <c r="I32" s="2">
        <v>203.33873622324572</v>
      </c>
      <c r="J32" s="2">
        <v>68.766845845467387</v>
      </c>
      <c r="K32" s="2">
        <v>166.53634710025014</v>
      </c>
      <c r="L32" s="2">
        <v>418.59110226779086</v>
      </c>
      <c r="M32" s="2">
        <v>177.0316221244384</v>
      </c>
      <c r="N32" s="2">
        <v>231.2392299028717</v>
      </c>
      <c r="O32" s="4">
        <f t="shared" si="0"/>
        <v>171.57060973738837</v>
      </c>
      <c r="P32" s="4">
        <f t="shared" si="1"/>
        <v>283.81090491269168</v>
      </c>
      <c r="Q32" s="4">
        <f t="shared" si="2"/>
        <v>248.96370121505473</v>
      </c>
      <c r="R32" s="4">
        <f t="shared" si="3"/>
        <v>217.96476507116947</v>
      </c>
    </row>
    <row r="33" spans="1:18" x14ac:dyDescent="0.2">
      <c r="A33" s="1">
        <v>1992</v>
      </c>
      <c r="B33" s="2">
        <v>169.62901496566192</v>
      </c>
      <c r="C33" s="2">
        <v>168.05119212206478</v>
      </c>
      <c r="D33" s="2">
        <v>227.9493752037433</v>
      </c>
      <c r="E33" s="2">
        <v>248.81019700214213</v>
      </c>
      <c r="F33" s="2">
        <v>109.00759833555468</v>
      </c>
      <c r="G33" s="2">
        <v>171.98866592368412</v>
      </c>
      <c r="H33" s="2">
        <v>103.88175215555262</v>
      </c>
      <c r="I33" s="2">
        <v>52.062574975033932</v>
      </c>
      <c r="J33" s="2">
        <v>47.948154858834599</v>
      </c>
      <c r="K33" s="2">
        <v>109.24214591006668</v>
      </c>
      <c r="L33" s="2">
        <v>216.98520287286669</v>
      </c>
      <c r="M33" s="2">
        <v>124.66114140062272</v>
      </c>
      <c r="N33" s="2">
        <v>145.52282165647912</v>
      </c>
      <c r="O33" s="4">
        <f t="shared" si="0"/>
        <v>90.064976681132222</v>
      </c>
      <c r="P33" s="4">
        <f t="shared" si="1"/>
        <v>195.25572351381336</v>
      </c>
      <c r="Q33" s="4">
        <f t="shared" si="2"/>
        <v>109.3109976847569</v>
      </c>
      <c r="R33" s="4">
        <f t="shared" si="3"/>
        <v>124.72516788058932</v>
      </c>
    </row>
    <row r="34" spans="1:18" x14ac:dyDescent="0.2">
      <c r="A34" s="1">
        <v>1993</v>
      </c>
      <c r="B34" s="2">
        <v>74.891323848052338</v>
      </c>
      <c r="C34" s="2">
        <v>70.64246479472159</v>
      </c>
      <c r="D34" s="2">
        <v>214.13797786413701</v>
      </c>
      <c r="E34" s="2">
        <v>376.84750094292826</v>
      </c>
      <c r="F34" s="2">
        <v>109.25479253762995</v>
      </c>
      <c r="G34" s="2">
        <v>65.30275067832298</v>
      </c>
      <c r="H34" s="2">
        <v>72.075911110701654</v>
      </c>
      <c r="I34" s="2">
        <v>55.788120510591945</v>
      </c>
      <c r="J34" s="2">
        <v>81.226049270636182</v>
      </c>
      <c r="K34" s="2">
        <v>91.930627986234882</v>
      </c>
      <c r="L34" s="2">
        <v>124.97458308397557</v>
      </c>
      <c r="M34" s="2">
        <v>333.91415905843417</v>
      </c>
      <c r="N34" s="2">
        <v>139.88719568039164</v>
      </c>
      <c r="O34" s="4">
        <f t="shared" si="0"/>
        <v>265.29662723090286</v>
      </c>
      <c r="P34" s="4">
        <f t="shared" si="1"/>
        <v>233.41342378156506</v>
      </c>
      <c r="Q34" s="4">
        <f t="shared" si="2"/>
        <v>64.388927433205524</v>
      </c>
      <c r="R34" s="4">
        <f t="shared" si="3"/>
        <v>99.377086780282227</v>
      </c>
    </row>
    <row r="35" spans="1:18" x14ac:dyDescent="0.2">
      <c r="A35" s="1">
        <v>1994</v>
      </c>
      <c r="B35" s="2">
        <v>259.62843444552988</v>
      </c>
      <c r="C35" s="2">
        <v>202.34728818874456</v>
      </c>
      <c r="D35" s="2">
        <v>181.94837019567618</v>
      </c>
      <c r="E35" s="2">
        <v>214.66031694062582</v>
      </c>
      <c r="F35" s="2">
        <v>110.29401714227286</v>
      </c>
      <c r="G35" s="2">
        <v>92.047904539752196</v>
      </c>
      <c r="H35" s="2">
        <v>62.085190758723201</v>
      </c>
      <c r="I35" s="2">
        <v>52.519780441730589</v>
      </c>
      <c r="J35" s="2">
        <v>56.989022970986845</v>
      </c>
      <c r="K35" s="2">
        <v>62.40454287352496</v>
      </c>
      <c r="L35" s="2">
        <v>79.160261216231092</v>
      </c>
      <c r="M35" s="2">
        <v>50.250666344764113</v>
      </c>
      <c r="N35" s="2">
        <v>117.72870596366229</v>
      </c>
      <c r="O35" s="4">
        <f t="shared" si="0"/>
        <v>266.75022211492137</v>
      </c>
      <c r="P35" s="4">
        <f t="shared" si="1"/>
        <v>168.9675680928583</v>
      </c>
      <c r="Q35" s="4">
        <f t="shared" si="2"/>
        <v>68.884291913401981</v>
      </c>
      <c r="R35" s="4">
        <f t="shared" si="3"/>
        <v>66.184609020247635</v>
      </c>
    </row>
    <row r="36" spans="1:18" x14ac:dyDescent="0.2">
      <c r="A36" s="1">
        <v>1995</v>
      </c>
      <c r="B36" s="2">
        <v>366</v>
      </c>
      <c r="C36" s="2">
        <v>384</v>
      </c>
      <c r="D36" s="2">
        <v>340</v>
      </c>
      <c r="E36" s="2">
        <v>506</v>
      </c>
      <c r="F36" s="2">
        <v>252</v>
      </c>
      <c r="G36" s="2">
        <v>319</v>
      </c>
      <c r="H36" s="2">
        <v>205</v>
      </c>
      <c r="I36" s="2">
        <v>243</v>
      </c>
      <c r="J36" s="2">
        <v>304</v>
      </c>
      <c r="K36" s="2">
        <v>169</v>
      </c>
      <c r="L36" s="2">
        <v>288</v>
      </c>
      <c r="M36" s="2">
        <v>414</v>
      </c>
      <c r="N36" s="2">
        <v>315.83333333333331</v>
      </c>
      <c r="O36" s="4">
        <f t="shared" si="0"/>
        <v>375</v>
      </c>
      <c r="P36" s="4">
        <f t="shared" si="1"/>
        <v>366</v>
      </c>
      <c r="Q36" s="4">
        <f t="shared" si="2"/>
        <v>255.66666666666666</v>
      </c>
      <c r="R36" s="4">
        <f t="shared" si="3"/>
        <v>253.66666666666666</v>
      </c>
    </row>
    <row r="37" spans="1:18" x14ac:dyDescent="0.2">
      <c r="A37" s="1">
        <v>1996</v>
      </c>
      <c r="B37" s="2">
        <v>435</v>
      </c>
      <c r="C37" s="2">
        <v>276</v>
      </c>
      <c r="D37" s="2">
        <v>213</v>
      </c>
      <c r="E37" s="2">
        <v>371</v>
      </c>
      <c r="F37" s="2">
        <v>183</v>
      </c>
      <c r="G37" s="2">
        <v>88</v>
      </c>
      <c r="H37" s="2">
        <v>41.3</v>
      </c>
      <c r="I37" s="2">
        <v>37.299999999999997</v>
      </c>
      <c r="J37" s="2">
        <v>215</v>
      </c>
      <c r="K37" s="2">
        <v>193</v>
      </c>
      <c r="L37" s="2">
        <v>243</v>
      </c>
      <c r="M37" s="2">
        <v>335</v>
      </c>
      <c r="N37" s="2">
        <v>219.21666666666667</v>
      </c>
      <c r="O37" s="4">
        <f t="shared" si="0"/>
        <v>283</v>
      </c>
      <c r="P37" s="4">
        <f t="shared" si="1"/>
        <v>255.66666666666666</v>
      </c>
      <c r="Q37" s="4">
        <f t="shared" si="2"/>
        <v>55.533333333333339</v>
      </c>
      <c r="R37" s="4">
        <f t="shared" si="3"/>
        <v>217</v>
      </c>
    </row>
    <row r="38" spans="1:18" x14ac:dyDescent="0.2">
      <c r="A38" s="1">
        <v>1997</v>
      </c>
      <c r="B38" s="2">
        <v>307</v>
      </c>
      <c r="C38" s="2">
        <v>207</v>
      </c>
      <c r="D38" s="2">
        <v>163</v>
      </c>
      <c r="E38" s="2">
        <v>269</v>
      </c>
      <c r="F38" s="2">
        <v>211</v>
      </c>
      <c r="G38" s="2">
        <v>97.8</v>
      </c>
      <c r="H38" s="2">
        <v>101</v>
      </c>
      <c r="I38" s="2">
        <v>97.8</v>
      </c>
      <c r="J38" s="2">
        <v>42.3</v>
      </c>
      <c r="K38" s="2">
        <v>114</v>
      </c>
      <c r="L38" s="2">
        <v>174</v>
      </c>
      <c r="M38" s="2">
        <v>225</v>
      </c>
      <c r="N38" s="2">
        <v>167.40833333333333</v>
      </c>
      <c r="O38" s="4">
        <f t="shared" si="0"/>
        <v>209</v>
      </c>
      <c r="P38" s="4">
        <f t="shared" si="1"/>
        <v>214.33333333333334</v>
      </c>
      <c r="Q38" s="4">
        <f t="shared" si="2"/>
        <v>98.866666666666674</v>
      </c>
      <c r="R38" s="4">
        <f t="shared" si="3"/>
        <v>110.10000000000001</v>
      </c>
    </row>
    <row r="39" spans="1:18" x14ac:dyDescent="0.2">
      <c r="A39" s="1">
        <v>1998</v>
      </c>
      <c r="B39" s="2">
        <v>223</v>
      </c>
      <c r="C39" s="2">
        <v>179</v>
      </c>
      <c r="D39" s="2">
        <v>125</v>
      </c>
      <c r="E39" s="2">
        <v>172</v>
      </c>
      <c r="F39" s="2">
        <v>122</v>
      </c>
      <c r="G39" s="2">
        <v>114</v>
      </c>
      <c r="H39" s="2">
        <v>55.3</v>
      </c>
      <c r="I39" s="2">
        <v>35.4</v>
      </c>
      <c r="J39" s="2">
        <v>105</v>
      </c>
      <c r="K39" s="2">
        <v>193</v>
      </c>
      <c r="L39" s="2">
        <v>243</v>
      </c>
      <c r="M39" s="2">
        <v>219</v>
      </c>
      <c r="N39" s="2">
        <v>148.80833333333334</v>
      </c>
      <c r="O39" s="4">
        <f t="shared" si="0"/>
        <v>222.96966205837171</v>
      </c>
      <c r="P39" s="4">
        <f t="shared" si="1"/>
        <v>139.66666666666666</v>
      </c>
      <c r="Q39" s="4">
        <f t="shared" si="2"/>
        <v>68.233333333333334</v>
      </c>
      <c r="R39" s="4">
        <f t="shared" si="3"/>
        <v>180.33333333333334</v>
      </c>
    </row>
    <row r="40" spans="1:18" x14ac:dyDescent="0.2">
      <c r="A40" s="1">
        <v>1999</v>
      </c>
      <c r="B40" s="2">
        <v>191.51612903225808</v>
      </c>
      <c r="C40" s="2">
        <v>258.39285714285717</v>
      </c>
      <c r="D40" s="2">
        <v>368.41935483870969</v>
      </c>
      <c r="E40" s="2">
        <v>320</v>
      </c>
      <c r="F40" s="2">
        <v>183.7741935483871</v>
      </c>
      <c r="G40" s="2">
        <v>123.97333333333333</v>
      </c>
      <c r="H40" s="2">
        <v>126.89677419354841</v>
      </c>
      <c r="I40" s="2">
        <v>64.267741935483897</v>
      </c>
      <c r="J40" s="2">
        <v>79.773333333333341</v>
      </c>
      <c r="K40" s="2">
        <v>55.561290322580646</v>
      </c>
      <c r="L40" s="2">
        <v>237.45666666666665</v>
      </c>
      <c r="M40" s="2">
        <v>467.35483870967744</v>
      </c>
      <c r="N40" s="2">
        <v>206.44887608806962</v>
      </c>
      <c r="O40" s="4">
        <f t="shared" si="0"/>
        <v>315.45161290322579</v>
      </c>
      <c r="P40" s="4">
        <f t="shared" si="1"/>
        <v>290.73118279569894</v>
      </c>
      <c r="Q40" s="4">
        <f t="shared" si="2"/>
        <v>105.04594982078855</v>
      </c>
      <c r="R40" s="4">
        <f t="shared" si="3"/>
        <v>124.2637634408602</v>
      </c>
    </row>
    <row r="41" spans="1:18" x14ac:dyDescent="0.2">
      <c r="A41" s="1">
        <v>2000</v>
      </c>
      <c r="B41" s="2">
        <v>172</v>
      </c>
      <c r="C41" s="2">
        <v>307</v>
      </c>
      <c r="D41" s="2">
        <v>319</v>
      </c>
      <c r="E41" s="2">
        <v>288</v>
      </c>
      <c r="F41" s="2">
        <v>120</v>
      </c>
      <c r="G41" s="2">
        <v>58.7</v>
      </c>
      <c r="H41" s="2">
        <v>37.4</v>
      </c>
      <c r="I41" s="2">
        <v>27</v>
      </c>
      <c r="J41" s="2">
        <v>30</v>
      </c>
      <c r="K41" s="2">
        <v>37.4</v>
      </c>
      <c r="L41" s="2">
        <v>68.3</v>
      </c>
      <c r="M41" s="2">
        <v>97.8</v>
      </c>
      <c r="N41" s="2">
        <v>130.21666666666667</v>
      </c>
      <c r="O41" s="4">
        <f t="shared" si="0"/>
        <v>158.26666666666668</v>
      </c>
      <c r="P41" s="4">
        <f t="shared" si="1"/>
        <v>242.33333333333334</v>
      </c>
      <c r="Q41" s="4">
        <f t="shared" si="2"/>
        <v>41.033333333333331</v>
      </c>
      <c r="R41" s="4">
        <f t="shared" si="3"/>
        <v>45.233333333333327</v>
      </c>
    </row>
    <row r="42" spans="1:18" x14ac:dyDescent="0.2">
      <c r="A42" s="1">
        <v>2001</v>
      </c>
      <c r="B42" s="2">
        <v>199</v>
      </c>
      <c r="C42" s="2">
        <v>178</v>
      </c>
      <c r="D42" s="2">
        <v>256</v>
      </c>
      <c r="E42" s="2">
        <v>327</v>
      </c>
      <c r="F42" s="2">
        <v>178</v>
      </c>
      <c r="G42" s="2">
        <v>376</v>
      </c>
      <c r="H42" s="2">
        <v>149</v>
      </c>
      <c r="I42" s="2">
        <v>56.4</v>
      </c>
      <c r="J42" s="2">
        <v>340</v>
      </c>
      <c r="K42" s="2">
        <v>94.6</v>
      </c>
      <c r="L42" s="2">
        <v>178</v>
      </c>
      <c r="M42" s="2">
        <v>147</v>
      </c>
      <c r="N42" s="2">
        <v>206.58333333333334</v>
      </c>
      <c r="O42" s="4">
        <f t="shared" si="0"/>
        <v>185</v>
      </c>
      <c r="P42" s="4">
        <f t="shared" si="1"/>
        <v>253.66666666666666</v>
      </c>
      <c r="Q42" s="4">
        <f t="shared" si="2"/>
        <v>193.79999999999998</v>
      </c>
      <c r="R42" s="4">
        <f t="shared" si="3"/>
        <v>204.20000000000002</v>
      </c>
    </row>
    <row r="43" spans="1:18" x14ac:dyDescent="0.2">
      <c r="A43" s="1">
        <v>2002</v>
      </c>
      <c r="B43" s="2">
        <v>154</v>
      </c>
      <c r="C43" s="2">
        <v>254</v>
      </c>
      <c r="D43" s="2">
        <v>161</v>
      </c>
      <c r="E43" s="2">
        <v>332</v>
      </c>
      <c r="F43" s="2">
        <v>205</v>
      </c>
      <c r="G43" s="2">
        <v>116</v>
      </c>
      <c r="H43" s="2">
        <v>58.7</v>
      </c>
      <c r="I43" s="2">
        <v>82.6</v>
      </c>
      <c r="J43" s="2">
        <v>90.8</v>
      </c>
      <c r="K43" s="2">
        <v>265</v>
      </c>
      <c r="L43" s="2">
        <v>161</v>
      </c>
      <c r="M43" s="2">
        <v>156</v>
      </c>
      <c r="N43" s="2">
        <v>169.67499999999998</v>
      </c>
      <c r="O43" s="4">
        <f t="shared" si="0"/>
        <v>176.33333333333334</v>
      </c>
      <c r="P43" s="4">
        <f t="shared" si="1"/>
        <v>232.66666666666666</v>
      </c>
      <c r="Q43" s="4">
        <f t="shared" si="2"/>
        <v>85.766666666666652</v>
      </c>
      <c r="R43" s="4">
        <f t="shared" si="3"/>
        <v>172.26666666666665</v>
      </c>
    </row>
    <row r="44" spans="1:18" x14ac:dyDescent="0.2">
      <c r="A44" s="1">
        <v>2003</v>
      </c>
      <c r="B44" s="2">
        <v>219</v>
      </c>
      <c r="C44" s="2">
        <v>154</v>
      </c>
      <c r="D44" s="2">
        <v>160</v>
      </c>
      <c r="E44" s="2">
        <v>152</v>
      </c>
      <c r="F44" s="2">
        <v>102</v>
      </c>
      <c r="G44" s="2">
        <v>72</v>
      </c>
      <c r="H44" s="2">
        <v>58.7</v>
      </c>
      <c r="I44" s="2">
        <v>25.8</v>
      </c>
      <c r="J44" s="2">
        <v>26.4</v>
      </c>
      <c r="K44" s="2">
        <v>104</v>
      </c>
      <c r="L44" s="2">
        <v>124</v>
      </c>
      <c r="M44" s="2">
        <v>79.900000000000006</v>
      </c>
      <c r="N44" s="2">
        <v>106.48333333333335</v>
      </c>
      <c r="O44" s="4">
        <f t="shared" si="0"/>
        <v>172.29999999999998</v>
      </c>
      <c r="P44" s="4">
        <f t="shared" si="1"/>
        <v>138</v>
      </c>
      <c r="Q44" s="4">
        <f t="shared" si="2"/>
        <v>52.166666666666664</v>
      </c>
      <c r="R44" s="4">
        <f t="shared" si="3"/>
        <v>84.8</v>
      </c>
    </row>
    <row r="45" spans="1:18" x14ac:dyDescent="0.2">
      <c r="A45" s="1">
        <v>2004</v>
      </c>
      <c r="B45" s="2">
        <v>183</v>
      </c>
      <c r="C45" s="2">
        <v>254</v>
      </c>
      <c r="D45" s="2">
        <v>340</v>
      </c>
      <c r="E45" s="2">
        <v>435</v>
      </c>
      <c r="F45" s="2">
        <v>215</v>
      </c>
      <c r="G45" s="2">
        <v>172</v>
      </c>
      <c r="H45" s="2">
        <v>116</v>
      </c>
      <c r="I45" s="2">
        <v>82.6</v>
      </c>
      <c r="J45" s="2">
        <v>42.3</v>
      </c>
      <c r="K45" s="2">
        <v>63.5</v>
      </c>
      <c r="L45" s="2">
        <v>149</v>
      </c>
      <c r="M45" s="2">
        <v>223</v>
      </c>
      <c r="N45" s="2">
        <v>189.61666666666665</v>
      </c>
      <c r="O45" s="4">
        <f t="shared" si="0"/>
        <v>160.66666666666666</v>
      </c>
      <c r="P45" s="4">
        <f t="shared" si="1"/>
        <v>330</v>
      </c>
      <c r="Q45" s="4">
        <f t="shared" si="2"/>
        <v>123.53333333333335</v>
      </c>
      <c r="R45" s="4">
        <f t="shared" si="3"/>
        <v>84.933333333333337</v>
      </c>
    </row>
    <row r="46" spans="1:18" x14ac:dyDescent="0.2">
      <c r="A46" s="1">
        <v>2005</v>
      </c>
      <c r="B46" s="2">
        <v>119</v>
      </c>
      <c r="C46" s="2">
        <v>140</v>
      </c>
      <c r="D46" s="2">
        <v>458</v>
      </c>
      <c r="E46" s="2">
        <v>371</v>
      </c>
      <c r="F46" s="2">
        <v>254</v>
      </c>
      <c r="G46" s="2">
        <v>197</v>
      </c>
      <c r="H46" s="2">
        <v>243</v>
      </c>
      <c r="I46" s="2">
        <v>172</v>
      </c>
      <c r="J46" s="2">
        <v>91</v>
      </c>
      <c r="K46" s="2">
        <v>88</v>
      </c>
      <c r="L46" s="2">
        <v>72</v>
      </c>
      <c r="M46" s="2">
        <v>274</v>
      </c>
      <c r="N46" s="2">
        <v>206.58333333333334</v>
      </c>
      <c r="O46" s="4">
        <f t="shared" si="0"/>
        <v>212.33333333333334</v>
      </c>
      <c r="P46" s="4">
        <f t="shared" si="1"/>
        <v>361</v>
      </c>
      <c r="Q46" s="4">
        <f t="shared" si="2"/>
        <v>204</v>
      </c>
      <c r="R46" s="4">
        <f t="shared" si="3"/>
        <v>83.666666666666671</v>
      </c>
    </row>
    <row r="47" spans="1:18" x14ac:dyDescent="0.2">
      <c r="A47" s="1">
        <v>2006</v>
      </c>
      <c r="B47" s="2">
        <v>209</v>
      </c>
      <c r="C47" s="2">
        <v>154</v>
      </c>
      <c r="D47" s="2">
        <v>440</v>
      </c>
      <c r="E47" s="2">
        <v>322</v>
      </c>
      <c r="F47" s="2">
        <v>183</v>
      </c>
      <c r="G47" s="2">
        <v>176</v>
      </c>
      <c r="H47" s="2">
        <v>83.9</v>
      </c>
      <c r="I47" s="2">
        <v>89.4</v>
      </c>
      <c r="J47" s="2">
        <v>82.6</v>
      </c>
      <c r="K47" s="2">
        <v>68.3</v>
      </c>
      <c r="L47" s="2">
        <v>67.099999999999994</v>
      </c>
      <c r="M47" s="2">
        <v>55.3</v>
      </c>
      <c r="N47" s="2">
        <v>160.88333333333333</v>
      </c>
      <c r="O47" s="4">
        <f t="shared" si="0"/>
        <v>123.10000000000001</v>
      </c>
      <c r="P47" s="4">
        <f t="shared" si="1"/>
        <v>315</v>
      </c>
      <c r="Q47" s="4">
        <f t="shared" si="2"/>
        <v>116.43333333333332</v>
      </c>
      <c r="R47" s="4">
        <f t="shared" si="3"/>
        <v>72.666666666666657</v>
      </c>
    </row>
    <row r="48" spans="1:18" x14ac:dyDescent="0.2">
      <c r="A48" s="1">
        <v>2007</v>
      </c>
      <c r="B48" s="2">
        <v>163</v>
      </c>
      <c r="C48" s="2">
        <v>151</v>
      </c>
      <c r="D48" s="2">
        <v>217</v>
      </c>
      <c r="E48" s="2">
        <v>133</v>
      </c>
      <c r="F48" s="2">
        <v>76</v>
      </c>
      <c r="G48" s="2">
        <v>82.6</v>
      </c>
      <c r="H48" s="2">
        <v>28.2</v>
      </c>
      <c r="I48" s="2">
        <v>26.4</v>
      </c>
      <c r="J48" s="2">
        <v>38.200000000000003</v>
      </c>
      <c r="K48" s="2">
        <v>81.2</v>
      </c>
      <c r="L48" s="2">
        <v>292</v>
      </c>
      <c r="M48" s="2">
        <v>156</v>
      </c>
      <c r="N48" s="2">
        <v>120.38333333333334</v>
      </c>
      <c r="O48" s="4">
        <f t="shared" si="0"/>
        <v>139.35550611790879</v>
      </c>
      <c r="P48" s="4">
        <f t="shared" si="1"/>
        <v>142</v>
      </c>
      <c r="Q48" s="4">
        <f t="shared" si="2"/>
        <v>45.733333333333327</v>
      </c>
      <c r="R48" s="4">
        <f t="shared" si="3"/>
        <v>137.13333333333333</v>
      </c>
    </row>
    <row r="49" spans="1:18" x14ac:dyDescent="0.2">
      <c r="A49" s="1">
        <v>2008</v>
      </c>
      <c r="B49" s="2">
        <v>172.43548387096774</v>
      </c>
      <c r="C49" s="2">
        <v>89.631034482758665</v>
      </c>
      <c r="D49" s="2">
        <v>270.19032258064516</v>
      </c>
      <c r="E49" s="2">
        <v>197.36666666666667</v>
      </c>
      <c r="F49" s="2">
        <v>105.30645161290322</v>
      </c>
      <c r="G49" s="2">
        <v>74.323333333333323</v>
      </c>
      <c r="H49" s="2">
        <v>68.109677419354838</v>
      </c>
      <c r="I49" s="2">
        <v>29.741935483870968</v>
      </c>
      <c r="J49" s="2">
        <v>41.93666666666666</v>
      </c>
      <c r="K49" s="2">
        <v>49.438709677419354</v>
      </c>
      <c r="L49" s="2">
        <v>53.99666666666667</v>
      </c>
      <c r="M49" s="2">
        <v>271.7354838709677</v>
      </c>
      <c r="N49" s="2">
        <v>118.68436936101841</v>
      </c>
      <c r="O49" s="4">
        <f t="shared" si="0"/>
        <v>205.24230414746543</v>
      </c>
      <c r="P49" s="4">
        <f t="shared" si="1"/>
        <v>190.95448028673835</v>
      </c>
      <c r="Q49" s="4">
        <f t="shared" si="2"/>
        <v>57.391648745519717</v>
      </c>
      <c r="R49" s="4">
        <f t="shared" si="3"/>
        <v>48.457347670250897</v>
      </c>
    </row>
    <row r="50" spans="1:18" x14ac:dyDescent="0.2">
      <c r="A50" s="1">
        <v>2009</v>
      </c>
      <c r="B50" s="2">
        <v>167.67</v>
      </c>
      <c r="C50" s="2">
        <v>176.32142857142858</v>
      </c>
      <c r="D50" s="2">
        <v>323.51645161290321</v>
      </c>
      <c r="E50" s="2">
        <v>324.73333333333335</v>
      </c>
      <c r="F50" s="2">
        <v>82.383333333333354</v>
      </c>
      <c r="G50" s="2">
        <v>184.94666666666666</v>
      </c>
      <c r="H50" s="2">
        <v>110.61666666666665</v>
      </c>
      <c r="I50" s="2">
        <v>34.666666666666664</v>
      </c>
      <c r="J50" s="2">
        <v>24.4</v>
      </c>
      <c r="K50" s="2">
        <v>74.739999999999995</v>
      </c>
      <c r="L50" s="2">
        <v>94.843333333333334</v>
      </c>
      <c r="M50" s="2">
        <v>305.45666666666671</v>
      </c>
      <c r="N50" s="2">
        <v>158.69121223758322</v>
      </c>
      <c r="O50" s="4">
        <f t="shared" si="0"/>
        <v>283.84377368151564</v>
      </c>
      <c r="P50" s="4">
        <f t="shared" si="1"/>
        <v>243.54437275985663</v>
      </c>
      <c r="Q50" s="4">
        <f t="shared" si="2"/>
        <v>110.07666666666665</v>
      </c>
      <c r="R50" s="4">
        <f t="shared" si="3"/>
        <v>64.661111111111111</v>
      </c>
    </row>
    <row r="51" spans="1:18" x14ac:dyDescent="0.2">
      <c r="A51" s="1">
        <v>2010</v>
      </c>
      <c r="B51" s="2">
        <v>281.7032258064516</v>
      </c>
      <c r="C51" s="2">
        <v>264.37142857142857</v>
      </c>
      <c r="D51" s="2">
        <v>265.03225806451616</v>
      </c>
      <c r="E51" s="2">
        <v>197.5</v>
      </c>
      <c r="F51" s="2">
        <v>252.99677419354836</v>
      </c>
      <c r="G51" s="2">
        <v>465.22</v>
      </c>
      <c r="H51" s="2">
        <v>120.93548387096777</v>
      </c>
      <c r="I51" s="2">
        <v>44.787096774193536</v>
      </c>
      <c r="J51" s="2">
        <v>66.313333333333333</v>
      </c>
      <c r="K51" s="2">
        <v>79.887096774193537</v>
      </c>
      <c r="L51" s="2">
        <v>159.26000000000002</v>
      </c>
      <c r="M51" s="2">
        <v>318.35483870967744</v>
      </c>
      <c r="N51" s="2">
        <v>209.69679467485923</v>
      </c>
      <c r="O51" s="4">
        <f t="shared" si="0"/>
        <v>173.57446236559142</v>
      </c>
      <c r="P51" s="4">
        <f t="shared" si="1"/>
        <v>238.50967741935483</v>
      </c>
      <c r="Q51" s="4">
        <f t="shared" si="2"/>
        <v>210.31419354838712</v>
      </c>
      <c r="R51" s="4">
        <f t="shared" si="3"/>
        <v>101.82014336917564</v>
      </c>
    </row>
    <row r="52" spans="1:18" x14ac:dyDescent="0.2">
      <c r="A52" s="1">
        <v>2011</v>
      </c>
      <c r="B52" s="2">
        <v>101.09354838709675</v>
      </c>
      <c r="C52" s="2">
        <v>101.27499999999999</v>
      </c>
      <c r="D52" s="2">
        <v>140</v>
      </c>
      <c r="E52" s="2">
        <v>100.82666666666664</v>
      </c>
      <c r="F52" s="2">
        <v>141.19677419354841</v>
      </c>
      <c r="G52" s="2">
        <v>91.980000000000018</v>
      </c>
      <c r="H52" s="2">
        <v>35.570967741935476</v>
      </c>
      <c r="I52" s="2">
        <v>28.138709677419349</v>
      </c>
      <c r="J52" s="2">
        <v>20.827586206896552</v>
      </c>
      <c r="K52" s="2">
        <v>22.738709677419354</v>
      </c>
      <c r="L52" s="2">
        <v>20.039999999999996</v>
      </c>
      <c r="M52" s="2">
        <v>43.138709677419357</v>
      </c>
      <c r="N52" s="2">
        <v>70.56888935236681</v>
      </c>
      <c r="O52" s="4">
        <f t="shared" si="0"/>
        <v>75.270077864293654</v>
      </c>
      <c r="P52" s="4">
        <f t="shared" si="1"/>
        <v>127.34114695340502</v>
      </c>
      <c r="Q52" s="4">
        <f t="shared" si="2"/>
        <v>51.896559139784948</v>
      </c>
      <c r="R52" s="4">
        <f t="shared" si="3"/>
        <v>21.202098628105301</v>
      </c>
    </row>
    <row r="53" spans="1:18" x14ac:dyDescent="0.2">
      <c r="A53" s="1">
        <v>2012</v>
      </c>
      <c r="B53" s="2">
        <v>49.612903225806448</v>
      </c>
      <c r="C53" s="2">
        <v>133.05862068965516</v>
      </c>
      <c r="D53" s="2">
        <v>257.67741935483872</v>
      </c>
      <c r="E53" s="2">
        <v>229.26666666666668</v>
      </c>
      <c r="F53" s="2">
        <v>269.53870967741938</v>
      </c>
      <c r="G53" s="2">
        <v>80.706666666666649</v>
      </c>
      <c r="H53" s="2">
        <v>27.322580645161299</v>
      </c>
      <c r="I53" s="2">
        <v>19.258064516129032</v>
      </c>
      <c r="J53" s="2">
        <v>22.29</v>
      </c>
      <c r="K53" s="2">
        <v>24.135483870967736</v>
      </c>
      <c r="L53" s="2">
        <v>26.723333333333326</v>
      </c>
      <c r="M53" s="2">
        <v>100.46129032258065</v>
      </c>
      <c r="N53" s="2">
        <v>103.3376449141021</v>
      </c>
      <c r="O53" s="4">
        <f t="shared" si="0"/>
        <v>199.9669738863287</v>
      </c>
      <c r="P53" s="4">
        <f t="shared" si="1"/>
        <v>252.16093189964158</v>
      </c>
      <c r="Q53" s="4">
        <f t="shared" si="2"/>
        <v>42.429103942652326</v>
      </c>
      <c r="R53" s="4">
        <f t="shared" si="3"/>
        <v>24.382939068100356</v>
      </c>
    </row>
    <row r="54" spans="1:18" x14ac:dyDescent="0.2">
      <c r="A54" s="1">
        <v>2013</v>
      </c>
      <c r="B54" s="2">
        <v>206.29677419354837</v>
      </c>
      <c r="C54" s="2">
        <v>293.14285714285717</v>
      </c>
      <c r="D54" s="2">
        <v>311.29032258064518</v>
      </c>
      <c r="E54" s="2">
        <v>233.13333333333333</v>
      </c>
      <c r="F54" s="2">
        <v>151.45806451612904</v>
      </c>
      <c r="G54" s="2">
        <v>80.396666666666661</v>
      </c>
      <c r="H54" s="2">
        <v>39.200000000000003</v>
      </c>
      <c r="I54" s="2">
        <v>21.72258064516129</v>
      </c>
      <c r="J54" s="2">
        <v>24.66333333333333</v>
      </c>
      <c r="K54" s="2">
        <v>32.535483870967738</v>
      </c>
      <c r="L54" s="2">
        <v>66.863333333333344</v>
      </c>
      <c r="M54" s="2">
        <v>49.632258064516108</v>
      </c>
      <c r="N54" s="2">
        <v>125.86125064004098</v>
      </c>
      <c r="O54" s="4">
        <f t="shared" si="0"/>
        <v>63.370430107526865</v>
      </c>
      <c r="P54" s="4">
        <f t="shared" si="1"/>
        <v>231.96057347670254</v>
      </c>
      <c r="Q54" s="4">
        <f t="shared" si="2"/>
        <v>47.106415770609317</v>
      </c>
      <c r="R54" s="4">
        <f t="shared" si="3"/>
        <v>41.35405017921147</v>
      </c>
    </row>
    <row r="55" spans="1:18" x14ac:dyDescent="0.2">
      <c r="A55" s="1">
        <v>2014</v>
      </c>
      <c r="B55" s="2">
        <v>59.429032258064517</v>
      </c>
      <c r="C55" s="2">
        <v>81.049999999999983</v>
      </c>
      <c r="D55" s="2">
        <v>111.1516129032258</v>
      </c>
      <c r="E55" s="2">
        <v>376.04666666666668</v>
      </c>
      <c r="F55" s="2">
        <v>612.58620689655174</v>
      </c>
      <c r="G55" s="2">
        <v>118.56</v>
      </c>
      <c r="H55" s="2">
        <v>80.980645161290326</v>
      </c>
      <c r="I55" s="2">
        <v>223.07096774193545</v>
      </c>
      <c r="J55" s="2">
        <v>285.51333333333332</v>
      </c>
      <c r="K55" s="2">
        <v>108.21612903225807</v>
      </c>
      <c r="L55" s="2">
        <v>63.516666666666666</v>
      </c>
      <c r="M55" s="2">
        <v>145.38387096774193</v>
      </c>
      <c r="N55" s="2">
        <v>188.7920943023112</v>
      </c>
      <c r="O55" s="4">
        <f t="shared" si="0"/>
        <v>203.32319508448541</v>
      </c>
      <c r="P55" s="4">
        <f t="shared" si="1"/>
        <v>366.59482882214803</v>
      </c>
      <c r="Q55" s="4">
        <f t="shared" si="2"/>
        <v>140.87053763440861</v>
      </c>
      <c r="R55" s="4">
        <f t="shared" si="3"/>
        <v>152.41537634408601</v>
      </c>
    </row>
    <row r="56" spans="1:18" x14ac:dyDescent="0.2">
      <c r="A56" s="1">
        <v>2015</v>
      </c>
      <c r="B56" s="2">
        <v>226.8</v>
      </c>
      <c r="C56" s="2">
        <v>237.78571428571428</v>
      </c>
      <c r="D56" s="2">
        <v>333.67741935483872</v>
      </c>
      <c r="E56" s="2">
        <v>251</v>
      </c>
      <c r="F56" s="2">
        <v>114.71290322580646</v>
      </c>
      <c r="G56" s="2">
        <v>55.146666666666661</v>
      </c>
      <c r="H56" s="2">
        <v>25.009677419354841</v>
      </c>
      <c r="I56" s="2">
        <v>21.393548387096772</v>
      </c>
      <c r="J56" s="2">
        <v>21.31</v>
      </c>
      <c r="K56" s="2">
        <v>87.212903225806443</v>
      </c>
      <c r="L56" s="2">
        <v>50.573333333333338</v>
      </c>
      <c r="M56" s="2">
        <v>67.08064516129032</v>
      </c>
      <c r="N56" s="2">
        <v>124.30856758832566</v>
      </c>
      <c r="O56" s="4">
        <f t="shared" si="0"/>
        <v>118.80978865406007</v>
      </c>
      <c r="P56" s="4">
        <f t="shared" si="1"/>
        <v>233.13010752688174</v>
      </c>
      <c r="Q56" s="4">
        <f t="shared" si="2"/>
        <v>33.84996415770609</v>
      </c>
      <c r="R56" s="4">
        <f t="shared" si="3"/>
        <v>53.032078853046592</v>
      </c>
    </row>
    <row r="57" spans="1:18" x14ac:dyDescent="0.2">
      <c r="A57" s="1">
        <v>2016</v>
      </c>
      <c r="B57" s="2">
        <v>115.09354838709679</v>
      </c>
      <c r="C57" s="2">
        <v>174.2551724137931</v>
      </c>
      <c r="D57" s="2">
        <v>319.70967741935482</v>
      </c>
      <c r="E57" s="2">
        <v>128.56</v>
      </c>
      <c r="F57" s="2">
        <v>187.21612903225807</v>
      </c>
      <c r="G57" s="2">
        <v>61.95000000000001</v>
      </c>
      <c r="H57" s="2">
        <v>67.070967741935476</v>
      </c>
      <c r="I57" s="2">
        <v>65.393548387096772</v>
      </c>
      <c r="J57" s="2">
        <v>33.299999999999997</v>
      </c>
      <c r="K57" s="2">
        <v>58.7</v>
      </c>
      <c r="L57" s="2">
        <v>135</v>
      </c>
      <c r="M57" s="2">
        <v>33.299999999999997</v>
      </c>
      <c r="N57" s="2">
        <v>114.96242028179459</v>
      </c>
      <c r="O57" s="4">
        <f t="shared" si="0"/>
        <v>88.122333333333344</v>
      </c>
      <c r="P57" s="4">
        <f t="shared" si="1"/>
        <v>211.82860215053765</v>
      </c>
      <c r="Q57" s="4">
        <f t="shared" si="2"/>
        <v>64.804838709677426</v>
      </c>
      <c r="R57" s="4">
        <f t="shared" si="3"/>
        <v>75.666666666666671</v>
      </c>
    </row>
    <row r="58" spans="1:18" x14ac:dyDescent="0.2">
      <c r="A58" s="1">
        <v>2017</v>
      </c>
      <c r="B58" s="2">
        <v>33.969000000000001</v>
      </c>
      <c r="C58" s="2">
        <v>197.09800000000001</v>
      </c>
      <c r="D58" s="2">
        <v>240.977</v>
      </c>
      <c r="E58" s="2">
        <v>210.137</v>
      </c>
      <c r="F58" s="2">
        <v>190.93199999999999</v>
      </c>
      <c r="G58" s="2">
        <v>62.095999999999997</v>
      </c>
      <c r="H58" s="2">
        <v>31.195</v>
      </c>
      <c r="I58" s="2">
        <v>28.811</v>
      </c>
      <c r="J58" s="2">
        <v>22.353999999999999</v>
      </c>
      <c r="K58" s="2">
        <v>54.578000000000003</v>
      </c>
      <c r="L58" s="2">
        <v>63.298999999999999</v>
      </c>
      <c r="M58" s="2">
        <v>262.94600000000003</v>
      </c>
      <c r="N58" s="2">
        <f>AVERAGE(B58:M58)</f>
        <v>116.53266666666669</v>
      </c>
      <c r="O58" s="4">
        <f t="shared" si="0"/>
        <v>209.38566666666668</v>
      </c>
      <c r="P58" s="4">
        <f t="shared" si="1"/>
        <v>214.01533333333336</v>
      </c>
      <c r="Q58" s="4">
        <f t="shared" si="2"/>
        <v>40.70066666666667</v>
      </c>
      <c r="R58" s="4">
        <f t="shared" si="3"/>
        <v>46.743666666666662</v>
      </c>
    </row>
    <row r="59" spans="1:18" x14ac:dyDescent="0.2">
      <c r="A59" s="1">
        <v>2018</v>
      </c>
      <c r="B59" s="2">
        <v>161.05600000000001</v>
      </c>
      <c r="C59" s="2">
        <v>204.155</v>
      </c>
      <c r="D59" s="2">
        <v>362.44299999999998</v>
      </c>
      <c r="E59" s="2">
        <v>230.37</v>
      </c>
      <c r="F59" s="2">
        <v>121.79</v>
      </c>
      <c r="G59" s="2">
        <v>132.94999999999999</v>
      </c>
      <c r="H59" s="2">
        <v>150.32300000000001</v>
      </c>
      <c r="I59" s="2">
        <v>60.337000000000003</v>
      </c>
      <c r="J59" s="2">
        <v>28.119</v>
      </c>
      <c r="K59" s="2">
        <v>24.113</v>
      </c>
      <c r="L59" s="2">
        <v>38.311999999999998</v>
      </c>
      <c r="M59" s="2">
        <v>97.831999999999994</v>
      </c>
      <c r="N59" s="2">
        <f t="shared" ref="N59:N61" si="4">AVERAGE(B59:M59)</f>
        <v>134.31666666666669</v>
      </c>
      <c r="O59" s="4">
        <f t="shared" si="0"/>
        <v>151.71233333333333</v>
      </c>
      <c r="P59" s="4">
        <f t="shared" si="1"/>
        <v>238.20099999999999</v>
      </c>
      <c r="Q59" s="4">
        <f t="shared" si="2"/>
        <v>114.53666666666668</v>
      </c>
      <c r="R59" s="4">
        <f t="shared" si="3"/>
        <v>30.181333333333331</v>
      </c>
    </row>
    <row r="60" spans="1:18" x14ac:dyDescent="0.2">
      <c r="A60" s="1">
        <v>2019</v>
      </c>
      <c r="B60" s="2">
        <v>75.103999999999999</v>
      </c>
      <c r="C60" s="2">
        <v>282.20100000000002</v>
      </c>
      <c r="D60" s="2">
        <v>151.79</v>
      </c>
      <c r="E60" s="2">
        <v>143.02000000000001</v>
      </c>
      <c r="F60" s="2">
        <v>296.11</v>
      </c>
      <c r="G60" s="2">
        <v>191.33799999999999</v>
      </c>
      <c r="H60" s="2">
        <v>47.732999999999997</v>
      </c>
      <c r="I60" s="2">
        <v>36.731999999999999</v>
      </c>
      <c r="J60" s="2">
        <v>21.925000000000001</v>
      </c>
      <c r="K60" s="2">
        <v>19.661000000000001</v>
      </c>
      <c r="L60" s="2">
        <v>27.484999999999999</v>
      </c>
      <c r="M60" s="2">
        <v>59.186</v>
      </c>
      <c r="N60" s="2">
        <f t="shared" si="4"/>
        <v>112.69041666666665</v>
      </c>
      <c r="O60" s="4">
        <f t="shared" si="0"/>
        <v>60.092666666666666</v>
      </c>
      <c r="P60" s="4">
        <f t="shared" si="1"/>
        <v>196.97333333333336</v>
      </c>
      <c r="Q60" s="4">
        <f t="shared" si="2"/>
        <v>91.934333333333328</v>
      </c>
      <c r="R60" s="4">
        <f t="shared" si="3"/>
        <v>23.023666666666667</v>
      </c>
    </row>
    <row r="61" spans="1:18" x14ac:dyDescent="0.2">
      <c r="A61" s="1">
        <v>2020</v>
      </c>
      <c r="B61" s="2">
        <v>34.265999999999998</v>
      </c>
      <c r="C61" s="2">
        <v>86.825999999999993</v>
      </c>
      <c r="D61" s="2">
        <v>134.49299999999999</v>
      </c>
      <c r="E61" s="2">
        <v>34.674999999999997</v>
      </c>
      <c r="F61" s="2">
        <v>56.600999999999999</v>
      </c>
      <c r="G61" s="2">
        <v>164.76599999999999</v>
      </c>
      <c r="H61" s="2">
        <v>55.503999999999998</v>
      </c>
      <c r="I61" s="2">
        <v>64.22</v>
      </c>
      <c r="J61" s="2">
        <v>25.498999999999999</v>
      </c>
      <c r="K61" s="2">
        <v>47.152999999999999</v>
      </c>
      <c r="L61" s="2">
        <v>30.187000000000001</v>
      </c>
      <c r="M61" s="2">
        <v>91.435000000000002</v>
      </c>
      <c r="N61" s="2">
        <f t="shared" si="4"/>
        <v>68.802083333333329</v>
      </c>
      <c r="P61" s="4">
        <f t="shared" si="1"/>
        <v>75.25633333333333</v>
      </c>
      <c r="Q61" s="4">
        <f t="shared" si="2"/>
        <v>94.83</v>
      </c>
      <c r="R61" s="4">
        <f t="shared" si="3"/>
        <v>34.279666666666664</v>
      </c>
    </row>
    <row r="62" spans="1:18" x14ac:dyDescent="0.2">
      <c r="B62" s="4">
        <f>AVERAGE(B2:B61)</f>
        <v>180.3317982124492</v>
      </c>
      <c r="C62" s="4">
        <f t="shared" ref="C62:N62" si="5">AVERAGE(C2:C61)</f>
        <v>212.59998642454147</v>
      </c>
      <c r="D62" s="4">
        <f t="shared" si="5"/>
        <v>254.37867195373417</v>
      </c>
      <c r="E62" s="4">
        <f t="shared" si="5"/>
        <v>266.65187847069973</v>
      </c>
      <c r="F62" s="4">
        <f t="shared" si="5"/>
        <v>203.96628416980232</v>
      </c>
      <c r="G62" s="4">
        <f t="shared" si="5"/>
        <v>144.99812092662043</v>
      </c>
      <c r="H62" s="4">
        <f t="shared" si="5"/>
        <v>96.178769025672892</v>
      </c>
      <c r="I62" s="4">
        <f t="shared" si="5"/>
        <v>71.333567979813196</v>
      </c>
      <c r="J62" s="4">
        <f t="shared" si="5"/>
        <v>76.834682911921817</v>
      </c>
      <c r="K62" s="4">
        <f t="shared" si="5"/>
        <v>93.466101135778302</v>
      </c>
      <c r="L62" s="4">
        <f t="shared" si="5"/>
        <v>134.36014513659848</v>
      </c>
      <c r="M62" s="4">
        <f t="shared" si="5"/>
        <v>186.00439854218519</v>
      </c>
      <c r="N62" s="4">
        <f t="shared" si="5"/>
        <v>160.19535878577111</v>
      </c>
    </row>
    <row r="63" spans="1:18" x14ac:dyDescent="0.2">
      <c r="N63" s="4">
        <f>AVERAGE(N2:N61)</f>
        <v>160.19535878577111</v>
      </c>
      <c r="O63" s="4">
        <f t="shared" ref="O63:R63" si="6">AVERAGE(O2:O61)</f>
        <v>194.06257594586481</v>
      </c>
      <c r="P63" s="4">
        <f t="shared" si="6"/>
        <v>241.66561153141194</v>
      </c>
      <c r="Q63" s="4">
        <f t="shared" si="6"/>
        <v>104.17015264403555</v>
      </c>
      <c r="R63" s="4">
        <f t="shared" si="6"/>
        <v>101.55364306143285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E75E-498D-1A49-A2C3-C5A89D9FFF54}">
  <dimension ref="A1:S317"/>
  <sheetViews>
    <sheetView tabSelected="1" topLeftCell="A181" zoomScale="84" workbookViewId="0">
      <selection activeCell="A257" sqref="A257"/>
    </sheetView>
  </sheetViews>
  <sheetFormatPr baseColWidth="10" defaultRowHeight="16" x14ac:dyDescent="0.2"/>
  <sheetData>
    <row r="1" spans="1:19" x14ac:dyDescent="0.2">
      <c r="A1" s="1" t="s">
        <v>30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7" t="s">
        <v>35</v>
      </c>
      <c r="O1" s="8"/>
      <c r="P1" s="9" t="s">
        <v>36</v>
      </c>
      <c r="Q1" s="9" t="s">
        <v>37</v>
      </c>
      <c r="R1" s="9" t="s">
        <v>38</v>
      </c>
      <c r="S1" s="9" t="s">
        <v>39</v>
      </c>
    </row>
    <row r="2" spans="1:19" x14ac:dyDescent="0.2">
      <c r="A2" s="1">
        <v>1961</v>
      </c>
      <c r="B2" s="1">
        <v>0.5</v>
      </c>
      <c r="C2" s="1">
        <v>3.8</v>
      </c>
      <c r="D2" s="1">
        <v>7.8</v>
      </c>
      <c r="E2" s="1">
        <v>14.6</v>
      </c>
      <c r="F2" s="1">
        <v>14</v>
      </c>
      <c r="G2" s="1">
        <v>19.600000000000001</v>
      </c>
      <c r="H2" s="1">
        <v>19.8</v>
      </c>
      <c r="I2" s="1">
        <v>19.5</v>
      </c>
      <c r="J2" s="1">
        <v>16.8</v>
      </c>
      <c r="K2" s="1">
        <v>13</v>
      </c>
      <c r="L2" s="1">
        <v>7.4</v>
      </c>
      <c r="M2" s="1">
        <v>0</v>
      </c>
      <c r="N2" s="1">
        <v>11.4</v>
      </c>
      <c r="P2" s="4">
        <f>AVERAGE(M2,B3,C3)</f>
        <v>0.33333333333333331</v>
      </c>
      <c r="Q2" s="4">
        <f>AVERAGE(D2:F2)</f>
        <v>12.133333333333333</v>
      </c>
      <c r="R2" s="4">
        <f>AVERAGE(G2:I2)</f>
        <v>19.633333333333336</v>
      </c>
      <c r="S2" s="4">
        <f>AVERAGE(J2:L2)</f>
        <v>12.4</v>
      </c>
    </row>
    <row r="3" spans="1:19" x14ac:dyDescent="0.2">
      <c r="A3" s="1">
        <v>1962</v>
      </c>
      <c r="B3" s="1">
        <v>0.8</v>
      </c>
      <c r="C3" s="1">
        <v>0.2</v>
      </c>
      <c r="D3" s="1">
        <v>2.2000000000000002</v>
      </c>
      <c r="E3" s="1">
        <v>12</v>
      </c>
      <c r="F3" s="1">
        <v>15.9</v>
      </c>
      <c r="G3" s="1">
        <v>17.2</v>
      </c>
      <c r="H3" s="1">
        <v>19.600000000000001</v>
      </c>
      <c r="I3" s="1">
        <v>21.6</v>
      </c>
      <c r="J3" s="1">
        <v>16.2</v>
      </c>
      <c r="K3" s="1">
        <v>11.4</v>
      </c>
      <c r="L3" s="1">
        <v>6.8</v>
      </c>
      <c r="M3" s="1">
        <v>-1.9</v>
      </c>
      <c r="N3" s="1">
        <v>10.199999999999999</v>
      </c>
      <c r="P3" s="4">
        <f t="shared" ref="P3:P60" si="0">AVERAGE(M3,B4,C4)</f>
        <v>-3.6666666666666665</v>
      </c>
      <c r="Q3" s="4">
        <f t="shared" ref="Q3:Q61" si="1">AVERAGE(D3:F3)</f>
        <v>10.033333333333333</v>
      </c>
      <c r="R3" s="4">
        <f t="shared" ref="R3:R61" si="2">AVERAGE(G3:I3)</f>
        <v>19.466666666666665</v>
      </c>
      <c r="S3" s="4">
        <f t="shared" ref="S3:S61" si="3">AVERAGE(J3:L3)</f>
        <v>11.466666666666667</v>
      </c>
    </row>
    <row r="4" spans="1:19" x14ac:dyDescent="0.2">
      <c r="A4" s="1">
        <v>1963</v>
      </c>
      <c r="B4" s="1">
        <v>-6.1</v>
      </c>
      <c r="C4" s="1">
        <v>-3</v>
      </c>
      <c r="D4" s="1">
        <v>4.9000000000000004</v>
      </c>
      <c r="E4" s="1">
        <v>12.6</v>
      </c>
      <c r="F4" s="1">
        <v>16</v>
      </c>
      <c r="G4" s="1">
        <v>20.399999999999999</v>
      </c>
      <c r="H4" s="1">
        <v>21.4</v>
      </c>
      <c r="I4" s="1">
        <v>21.2</v>
      </c>
      <c r="J4" s="1">
        <v>17.100000000000001</v>
      </c>
      <c r="K4" s="1">
        <v>10</v>
      </c>
      <c r="L4" s="1">
        <v>10.9</v>
      </c>
      <c r="M4" s="1">
        <v>-3.1</v>
      </c>
      <c r="N4" s="1">
        <v>10.199999999999999</v>
      </c>
      <c r="P4" s="4">
        <f t="shared" si="0"/>
        <v>-2.9333333333333336</v>
      </c>
      <c r="Q4" s="4">
        <f t="shared" si="1"/>
        <v>11.166666666666666</v>
      </c>
      <c r="R4" s="4">
        <f t="shared" si="2"/>
        <v>21</v>
      </c>
      <c r="S4" s="4">
        <f t="shared" si="3"/>
        <v>12.666666666666666</v>
      </c>
    </row>
    <row r="5" spans="1:19" x14ac:dyDescent="0.2">
      <c r="A5" s="1">
        <v>1964</v>
      </c>
      <c r="B5" s="1">
        <v>-6.9</v>
      </c>
      <c r="C5" s="1">
        <v>1.2</v>
      </c>
      <c r="D5" s="1">
        <v>4.9000000000000004</v>
      </c>
      <c r="E5" s="1">
        <v>12</v>
      </c>
      <c r="F5" s="1">
        <v>15</v>
      </c>
      <c r="G5" s="1">
        <v>20.3</v>
      </c>
      <c r="H5" s="1">
        <v>19.5</v>
      </c>
      <c r="I5" s="1">
        <v>18.600000000000001</v>
      </c>
      <c r="J5" s="1">
        <v>15.3</v>
      </c>
      <c r="K5" s="1">
        <v>12.1</v>
      </c>
      <c r="L5" s="1">
        <v>7.6</v>
      </c>
      <c r="M5" s="1">
        <v>1.9</v>
      </c>
      <c r="N5" s="1">
        <v>10.1</v>
      </c>
      <c r="P5" s="4">
        <f t="shared" si="0"/>
        <v>-0.16666666666666666</v>
      </c>
      <c r="Q5" s="4">
        <f t="shared" si="1"/>
        <v>10.633333333333333</v>
      </c>
      <c r="R5" s="4">
        <f t="shared" si="2"/>
        <v>19.466666666666665</v>
      </c>
      <c r="S5" s="4">
        <f t="shared" si="3"/>
        <v>11.666666666666666</v>
      </c>
    </row>
    <row r="6" spans="1:19" x14ac:dyDescent="0.2">
      <c r="A6" s="1">
        <v>1965</v>
      </c>
      <c r="B6" s="1">
        <v>0.8</v>
      </c>
      <c r="C6" s="1">
        <v>-3.2</v>
      </c>
      <c r="D6" s="1">
        <v>7.5</v>
      </c>
      <c r="E6" s="1">
        <v>10</v>
      </c>
      <c r="F6" s="1">
        <v>14.5</v>
      </c>
      <c r="G6" s="1">
        <v>18.899999999999999</v>
      </c>
      <c r="H6" s="1">
        <v>21.3</v>
      </c>
      <c r="I6" s="1">
        <v>18.7</v>
      </c>
      <c r="J6" s="1">
        <v>16.899999999999999</v>
      </c>
      <c r="K6" s="1">
        <v>9.6999999999999993</v>
      </c>
      <c r="L6" s="1">
        <v>5.6</v>
      </c>
      <c r="M6" s="1">
        <v>4.0999999999999996</v>
      </c>
      <c r="N6" s="1">
        <v>10.4</v>
      </c>
      <c r="P6" s="4">
        <f t="shared" si="0"/>
        <v>2.7666666666666671</v>
      </c>
      <c r="Q6" s="4">
        <f t="shared" si="1"/>
        <v>10.666666666666666</v>
      </c>
      <c r="R6" s="4">
        <f t="shared" si="2"/>
        <v>19.633333333333336</v>
      </c>
      <c r="S6" s="4">
        <f t="shared" si="3"/>
        <v>10.733333333333333</v>
      </c>
    </row>
    <row r="7" spans="1:19" x14ac:dyDescent="0.2">
      <c r="A7" s="1">
        <v>1966</v>
      </c>
      <c r="B7" s="1">
        <v>-3.2</v>
      </c>
      <c r="C7" s="1">
        <v>7.4</v>
      </c>
      <c r="D7" s="1">
        <v>4.9000000000000004</v>
      </c>
      <c r="E7" s="1">
        <v>12.7</v>
      </c>
      <c r="F7" s="1">
        <v>15.2</v>
      </c>
      <c r="G7" s="1">
        <v>19</v>
      </c>
      <c r="H7" s="1">
        <v>20.100000000000001</v>
      </c>
      <c r="I7" s="1">
        <v>19.3</v>
      </c>
      <c r="J7" s="1">
        <v>16.7</v>
      </c>
      <c r="K7" s="1">
        <v>15.6</v>
      </c>
      <c r="L7" s="1">
        <v>5.7</v>
      </c>
      <c r="M7" s="1">
        <v>2.7</v>
      </c>
      <c r="N7" s="1">
        <v>11.3</v>
      </c>
      <c r="P7" s="4">
        <f t="shared" si="0"/>
        <v>0.60000000000000009</v>
      </c>
      <c r="Q7" s="4">
        <f t="shared" si="1"/>
        <v>10.933333333333332</v>
      </c>
      <c r="R7" s="4">
        <f t="shared" si="2"/>
        <v>19.466666666666669</v>
      </c>
      <c r="S7" s="4">
        <f t="shared" si="3"/>
        <v>12.666666666666666</v>
      </c>
    </row>
    <row r="8" spans="1:19" x14ac:dyDescent="0.2">
      <c r="A8" s="1">
        <v>1967</v>
      </c>
      <c r="B8" s="1">
        <v>-3.6</v>
      </c>
      <c r="C8" s="1">
        <v>2.7</v>
      </c>
      <c r="D8" s="1">
        <v>7.6</v>
      </c>
      <c r="E8" s="1">
        <v>10.3</v>
      </c>
      <c r="F8" s="1">
        <v>15.8</v>
      </c>
      <c r="G8" s="1">
        <v>18.2</v>
      </c>
      <c r="H8" s="1">
        <v>21.6</v>
      </c>
      <c r="I8" s="1">
        <v>20.8</v>
      </c>
      <c r="J8" s="1">
        <v>17.899999999999999</v>
      </c>
      <c r="K8" s="1">
        <v>12.6</v>
      </c>
      <c r="L8" s="1">
        <v>6.3</v>
      </c>
      <c r="M8" s="1">
        <v>-0.7</v>
      </c>
      <c r="N8" s="1">
        <v>10.8</v>
      </c>
      <c r="P8" s="4">
        <f t="shared" si="0"/>
        <v>0.33333333333333331</v>
      </c>
      <c r="Q8" s="4">
        <f t="shared" si="1"/>
        <v>11.233333333333334</v>
      </c>
      <c r="R8" s="4">
        <f t="shared" si="2"/>
        <v>20.2</v>
      </c>
      <c r="S8" s="4">
        <f t="shared" si="3"/>
        <v>12.266666666666666</v>
      </c>
    </row>
    <row r="9" spans="1:19" x14ac:dyDescent="0.2">
      <c r="A9" s="1">
        <v>1968</v>
      </c>
      <c r="B9" s="1">
        <v>-2.4</v>
      </c>
      <c r="C9" s="1">
        <v>4.0999999999999996</v>
      </c>
      <c r="D9" s="1">
        <v>6.9</v>
      </c>
      <c r="E9" s="1">
        <v>13.3</v>
      </c>
      <c r="F9" s="1">
        <v>17.100000000000001</v>
      </c>
      <c r="G9" s="1">
        <v>19.2</v>
      </c>
      <c r="H9" s="1">
        <v>20.399999999999999</v>
      </c>
      <c r="I9" s="1">
        <v>18.5</v>
      </c>
      <c r="J9" s="1">
        <v>15.8</v>
      </c>
      <c r="K9" s="1">
        <v>10.9</v>
      </c>
      <c r="L9" s="1">
        <v>7.3</v>
      </c>
      <c r="M9" s="1">
        <v>-0.4</v>
      </c>
      <c r="N9" s="1">
        <v>10.9</v>
      </c>
      <c r="P9" s="4">
        <f t="shared" si="0"/>
        <v>0</v>
      </c>
      <c r="Q9" s="4">
        <f t="shared" si="1"/>
        <v>12.433333333333335</v>
      </c>
      <c r="R9" s="4">
        <f t="shared" si="2"/>
        <v>19.366666666666664</v>
      </c>
      <c r="S9" s="4">
        <f t="shared" si="3"/>
        <v>11.333333333333334</v>
      </c>
    </row>
    <row r="10" spans="1:19" x14ac:dyDescent="0.2">
      <c r="A10" s="1">
        <v>1969</v>
      </c>
      <c r="B10" s="1">
        <v>-1.6</v>
      </c>
      <c r="C10" s="1">
        <v>2</v>
      </c>
      <c r="D10" s="1">
        <v>5.0999999999999996</v>
      </c>
      <c r="E10" s="1">
        <v>10.1</v>
      </c>
      <c r="F10" s="1">
        <v>18.3</v>
      </c>
      <c r="G10" s="1">
        <v>18</v>
      </c>
      <c r="H10" s="1">
        <v>19.8</v>
      </c>
      <c r="I10" s="1">
        <v>18.899999999999999</v>
      </c>
      <c r="J10" s="1">
        <v>17</v>
      </c>
      <c r="K10" s="1">
        <v>9.8000000000000007</v>
      </c>
      <c r="L10" s="1">
        <v>9</v>
      </c>
      <c r="M10" s="1">
        <v>-2.2000000000000002</v>
      </c>
      <c r="N10" s="1">
        <v>10.4</v>
      </c>
      <c r="P10" s="4">
        <f t="shared" si="0"/>
        <v>-0.5</v>
      </c>
      <c r="Q10" s="4">
        <f t="shared" si="1"/>
        <v>11.166666666666666</v>
      </c>
      <c r="R10" s="4">
        <f t="shared" si="2"/>
        <v>18.899999999999999</v>
      </c>
      <c r="S10" s="4">
        <f t="shared" si="3"/>
        <v>11.933333333333332</v>
      </c>
    </row>
    <row r="11" spans="1:19" x14ac:dyDescent="0.2">
      <c r="A11" s="1">
        <v>1970</v>
      </c>
      <c r="B11" s="1">
        <v>-0.4</v>
      </c>
      <c r="C11" s="1">
        <v>1.1000000000000001</v>
      </c>
      <c r="D11" s="1">
        <v>5.7</v>
      </c>
      <c r="E11" s="1">
        <v>11.1</v>
      </c>
      <c r="F11" s="1">
        <v>13.5</v>
      </c>
      <c r="G11" s="1">
        <v>19.600000000000001</v>
      </c>
      <c r="H11" s="1">
        <v>19.8</v>
      </c>
      <c r="I11" s="1">
        <v>20.3</v>
      </c>
      <c r="J11" s="1">
        <v>15.8</v>
      </c>
      <c r="K11" s="1">
        <v>9.8000000000000007</v>
      </c>
      <c r="L11" s="1">
        <v>8</v>
      </c>
      <c r="M11" s="1">
        <v>0.5</v>
      </c>
      <c r="N11" s="1">
        <v>10.4</v>
      </c>
      <c r="P11" s="4">
        <f t="shared" si="0"/>
        <v>1.2666666666666666</v>
      </c>
      <c r="Q11" s="4">
        <f t="shared" si="1"/>
        <v>10.1</v>
      </c>
      <c r="R11" s="4">
        <f t="shared" si="2"/>
        <v>19.900000000000002</v>
      </c>
      <c r="S11" s="4">
        <f t="shared" si="3"/>
        <v>11.200000000000001</v>
      </c>
    </row>
    <row r="12" spans="1:19" x14ac:dyDescent="0.2">
      <c r="A12" s="1">
        <v>1971</v>
      </c>
      <c r="B12" s="1">
        <v>0.2</v>
      </c>
      <c r="C12" s="1">
        <v>3.1</v>
      </c>
      <c r="D12" s="1">
        <v>3.8</v>
      </c>
      <c r="E12" s="1">
        <v>12.7</v>
      </c>
      <c r="F12" s="1">
        <v>17.3</v>
      </c>
      <c r="G12" s="1">
        <v>19.100000000000001</v>
      </c>
      <c r="H12" s="1">
        <v>20.9</v>
      </c>
      <c r="I12" s="1">
        <v>22.2</v>
      </c>
      <c r="J12" s="1">
        <v>13.2</v>
      </c>
      <c r="K12" s="1">
        <v>9</v>
      </c>
      <c r="L12" s="1">
        <v>5.0999999999999996</v>
      </c>
      <c r="M12" s="1">
        <v>1.1000000000000001</v>
      </c>
      <c r="N12" s="1">
        <v>10.6</v>
      </c>
      <c r="P12" s="4">
        <f t="shared" si="0"/>
        <v>1.9333333333333333</v>
      </c>
      <c r="Q12" s="4">
        <f t="shared" si="1"/>
        <v>11.266666666666666</v>
      </c>
      <c r="R12" s="4">
        <f t="shared" si="2"/>
        <v>20.733333333333334</v>
      </c>
      <c r="S12" s="4">
        <f t="shared" si="3"/>
        <v>9.1</v>
      </c>
    </row>
    <row r="13" spans="1:19" x14ac:dyDescent="0.2">
      <c r="A13" s="1">
        <v>1972</v>
      </c>
      <c r="B13" s="1">
        <v>0.1</v>
      </c>
      <c r="C13" s="1">
        <v>4.5999999999999996</v>
      </c>
      <c r="D13" s="1">
        <v>8.5</v>
      </c>
      <c r="E13" s="1">
        <v>12</v>
      </c>
      <c r="F13" s="1">
        <v>15.9</v>
      </c>
      <c r="G13" s="1">
        <v>20.3</v>
      </c>
      <c r="H13" s="1">
        <v>20.7</v>
      </c>
      <c r="I13" s="1">
        <v>18.7</v>
      </c>
      <c r="J13" s="1">
        <v>13.7</v>
      </c>
      <c r="K13" s="1">
        <v>8.9</v>
      </c>
      <c r="L13" s="1">
        <v>6.1</v>
      </c>
      <c r="M13" s="1">
        <v>1</v>
      </c>
      <c r="N13" s="1">
        <v>10.9</v>
      </c>
      <c r="P13" s="4">
        <f t="shared" si="0"/>
        <v>1.2333333333333334</v>
      </c>
      <c r="Q13" s="4">
        <f t="shared" si="1"/>
        <v>12.133333333333333</v>
      </c>
      <c r="R13" s="4">
        <f t="shared" si="2"/>
        <v>19.900000000000002</v>
      </c>
      <c r="S13" s="4">
        <f t="shared" si="3"/>
        <v>9.5666666666666682</v>
      </c>
    </row>
    <row r="14" spans="1:19" x14ac:dyDescent="0.2">
      <c r="A14" s="1">
        <v>1973</v>
      </c>
      <c r="B14" s="1">
        <v>0</v>
      </c>
      <c r="C14" s="1">
        <v>2.7</v>
      </c>
      <c r="D14" s="1">
        <v>4.5</v>
      </c>
      <c r="E14" s="1">
        <v>9</v>
      </c>
      <c r="F14" s="1">
        <v>17.100000000000001</v>
      </c>
      <c r="G14" s="1">
        <v>19.5</v>
      </c>
      <c r="H14" s="1">
        <v>20.100000000000001</v>
      </c>
      <c r="I14" s="1">
        <v>19.399999999999999</v>
      </c>
      <c r="J14" s="1">
        <v>16.8</v>
      </c>
      <c r="K14" s="1">
        <v>9.6999999999999993</v>
      </c>
      <c r="L14" s="1">
        <v>2.6</v>
      </c>
      <c r="M14" s="1">
        <v>0.4</v>
      </c>
      <c r="N14" s="1">
        <v>10.199999999999999</v>
      </c>
      <c r="P14" s="4">
        <f t="shared" si="0"/>
        <v>2.8666666666666667</v>
      </c>
      <c r="Q14" s="4">
        <f t="shared" si="1"/>
        <v>10.200000000000001</v>
      </c>
      <c r="R14" s="4">
        <f t="shared" si="2"/>
        <v>19.666666666666668</v>
      </c>
      <c r="S14" s="4">
        <f t="shared" si="3"/>
        <v>9.7000000000000011</v>
      </c>
    </row>
    <row r="15" spans="1:19" x14ac:dyDescent="0.2">
      <c r="A15" s="1">
        <v>1974</v>
      </c>
      <c r="B15" s="1">
        <v>2.1</v>
      </c>
      <c r="C15" s="1">
        <v>6.1</v>
      </c>
      <c r="D15" s="1">
        <v>8.1999999999999993</v>
      </c>
      <c r="E15" s="1">
        <v>9.6999999999999993</v>
      </c>
      <c r="F15" s="1">
        <v>14</v>
      </c>
      <c r="G15" s="1">
        <v>17.600000000000001</v>
      </c>
      <c r="H15" s="1">
        <v>19.7</v>
      </c>
      <c r="I15" s="1">
        <v>20.6</v>
      </c>
      <c r="J15" s="1">
        <v>16.600000000000001</v>
      </c>
      <c r="K15" s="1">
        <v>7.8</v>
      </c>
      <c r="L15" s="1">
        <v>5.6</v>
      </c>
      <c r="M15" s="1">
        <v>3</v>
      </c>
      <c r="N15" s="1">
        <v>10.9</v>
      </c>
      <c r="P15" s="4">
        <f t="shared" si="0"/>
        <v>1.9333333333333333</v>
      </c>
      <c r="Q15" s="4">
        <f t="shared" si="1"/>
        <v>10.633333333333333</v>
      </c>
      <c r="R15" s="4">
        <f t="shared" si="2"/>
        <v>19.3</v>
      </c>
      <c r="S15" s="4">
        <f t="shared" si="3"/>
        <v>10</v>
      </c>
    </row>
    <row r="16" spans="1:19" x14ac:dyDescent="0.2">
      <c r="A16" s="1">
        <v>1975</v>
      </c>
      <c r="B16" s="1">
        <v>1.5</v>
      </c>
      <c r="C16" s="1">
        <v>1.3</v>
      </c>
      <c r="D16" s="1">
        <v>8.1999999999999993</v>
      </c>
      <c r="E16" s="1">
        <v>10.8</v>
      </c>
      <c r="F16" s="1">
        <v>16.399999999999999</v>
      </c>
      <c r="G16" s="1">
        <v>18.3</v>
      </c>
      <c r="H16" s="1">
        <v>20.2</v>
      </c>
      <c r="I16" s="1">
        <v>19</v>
      </c>
      <c r="J16" s="1">
        <v>18.399999999999999</v>
      </c>
      <c r="K16" s="1">
        <v>10.8</v>
      </c>
      <c r="L16" s="1">
        <v>4.5999999999999996</v>
      </c>
      <c r="M16" s="1">
        <v>1.6</v>
      </c>
      <c r="N16" s="1">
        <v>10.9</v>
      </c>
      <c r="P16" s="4">
        <f t="shared" si="0"/>
        <v>0.73333333333333339</v>
      </c>
      <c r="Q16" s="4">
        <f t="shared" si="1"/>
        <v>11.799999999999999</v>
      </c>
      <c r="R16" s="4">
        <f t="shared" si="2"/>
        <v>19.166666666666668</v>
      </c>
      <c r="S16" s="4">
        <f t="shared" si="3"/>
        <v>11.266666666666666</v>
      </c>
    </row>
    <row r="17" spans="1:19" x14ac:dyDescent="0.2">
      <c r="A17" s="1">
        <v>1976</v>
      </c>
      <c r="B17" s="1">
        <v>0.5</v>
      </c>
      <c r="C17" s="1">
        <v>0.1</v>
      </c>
      <c r="D17" s="1">
        <v>2.5</v>
      </c>
      <c r="E17" s="1">
        <v>10.7</v>
      </c>
      <c r="F17" s="1">
        <v>14.8</v>
      </c>
      <c r="G17" s="1">
        <v>17.5</v>
      </c>
      <c r="H17" s="1">
        <v>20.6</v>
      </c>
      <c r="I17" s="1">
        <v>16.8</v>
      </c>
      <c r="J17" s="1">
        <v>14.7</v>
      </c>
      <c r="K17" s="1">
        <v>12</v>
      </c>
      <c r="L17" s="1">
        <v>7.1</v>
      </c>
      <c r="M17" s="1">
        <v>2</v>
      </c>
      <c r="N17" s="1">
        <v>9.9</v>
      </c>
      <c r="P17" s="4">
        <f t="shared" si="0"/>
        <v>3.8333333333333335</v>
      </c>
      <c r="Q17" s="4">
        <f t="shared" si="1"/>
        <v>9.3333333333333339</v>
      </c>
      <c r="R17" s="4">
        <f t="shared" si="2"/>
        <v>18.3</v>
      </c>
      <c r="S17" s="4">
        <f t="shared" si="3"/>
        <v>11.266666666666666</v>
      </c>
    </row>
    <row r="18" spans="1:19" x14ac:dyDescent="0.2">
      <c r="A18" s="1">
        <v>1977</v>
      </c>
      <c r="B18" s="1">
        <v>3.1</v>
      </c>
      <c r="C18" s="1">
        <v>6.4</v>
      </c>
      <c r="D18" s="1">
        <v>9.6</v>
      </c>
      <c r="E18" s="1">
        <v>10.4</v>
      </c>
      <c r="F18" s="1">
        <v>16.100000000000001</v>
      </c>
      <c r="G18" s="1">
        <v>19</v>
      </c>
      <c r="H18" s="1">
        <v>20.100000000000001</v>
      </c>
      <c r="I18" s="1">
        <v>19.399999999999999</v>
      </c>
      <c r="J18" s="1">
        <v>13.5</v>
      </c>
      <c r="K18" s="1">
        <v>12</v>
      </c>
      <c r="L18" s="1">
        <v>6.5</v>
      </c>
      <c r="M18" s="1">
        <v>-0.6</v>
      </c>
      <c r="N18" s="1">
        <v>11.3</v>
      </c>
      <c r="P18" s="4">
        <f t="shared" si="0"/>
        <v>0.76666666666666661</v>
      </c>
      <c r="Q18" s="4">
        <f t="shared" si="1"/>
        <v>12.033333333333333</v>
      </c>
      <c r="R18" s="4">
        <f t="shared" si="2"/>
        <v>19.5</v>
      </c>
      <c r="S18" s="4">
        <f t="shared" si="3"/>
        <v>10.666666666666666</v>
      </c>
    </row>
    <row r="19" spans="1:19" x14ac:dyDescent="0.2">
      <c r="A19" s="1">
        <v>1978</v>
      </c>
      <c r="B19" s="1">
        <v>1</v>
      </c>
      <c r="C19" s="1">
        <v>1.9</v>
      </c>
      <c r="D19" s="1">
        <v>8</v>
      </c>
      <c r="E19" s="1">
        <v>10.1</v>
      </c>
      <c r="F19" s="1">
        <v>13.7</v>
      </c>
      <c r="G19" s="1">
        <v>17.899999999999999</v>
      </c>
      <c r="H19" s="1">
        <v>18.899999999999999</v>
      </c>
      <c r="I19" s="1">
        <v>18.899999999999999</v>
      </c>
      <c r="J19" s="1">
        <v>14.8</v>
      </c>
      <c r="K19" s="1">
        <v>10.199999999999999</v>
      </c>
      <c r="L19" s="1">
        <v>2.6</v>
      </c>
      <c r="M19" s="1">
        <v>2.1</v>
      </c>
      <c r="N19" s="1">
        <v>10</v>
      </c>
      <c r="P19" s="4">
        <f t="shared" si="0"/>
        <v>1.5333333333333332</v>
      </c>
      <c r="Q19" s="4">
        <f t="shared" si="1"/>
        <v>10.6</v>
      </c>
      <c r="R19" s="4">
        <f t="shared" si="2"/>
        <v>18.566666666666666</v>
      </c>
      <c r="S19" s="4">
        <f t="shared" si="3"/>
        <v>9.2000000000000011</v>
      </c>
    </row>
    <row r="20" spans="1:19" x14ac:dyDescent="0.2">
      <c r="A20" s="1">
        <v>1979</v>
      </c>
      <c r="B20" s="1">
        <v>-0.8</v>
      </c>
      <c r="C20" s="1">
        <v>3.3</v>
      </c>
      <c r="D20" s="1">
        <v>8.6</v>
      </c>
      <c r="E20" s="1">
        <v>9.6</v>
      </c>
      <c r="F20" s="1">
        <v>15.7</v>
      </c>
      <c r="G20" s="1">
        <v>21</v>
      </c>
      <c r="H20" s="1">
        <v>19.100000000000001</v>
      </c>
      <c r="I20" s="1">
        <v>19.100000000000001</v>
      </c>
      <c r="J20" s="1">
        <v>15.7</v>
      </c>
      <c r="K20" s="1">
        <v>9.6999999999999993</v>
      </c>
      <c r="L20" s="1">
        <v>6.6</v>
      </c>
      <c r="M20" s="1">
        <v>4.7</v>
      </c>
      <c r="N20" s="1">
        <v>11</v>
      </c>
      <c r="P20" s="4">
        <f t="shared" si="0"/>
        <v>1.8666666666666665</v>
      </c>
      <c r="Q20" s="4">
        <f t="shared" si="1"/>
        <v>11.299999999999999</v>
      </c>
      <c r="R20" s="4">
        <f t="shared" si="2"/>
        <v>19.733333333333334</v>
      </c>
      <c r="S20" s="4">
        <f t="shared" si="3"/>
        <v>10.666666666666666</v>
      </c>
    </row>
    <row r="21" spans="1:19" x14ac:dyDescent="0.2">
      <c r="A21" s="1">
        <v>1980</v>
      </c>
      <c r="B21" s="1">
        <v>-2.2000000000000002</v>
      </c>
      <c r="C21" s="1">
        <v>3.1</v>
      </c>
      <c r="D21" s="1">
        <v>6.5</v>
      </c>
      <c r="E21" s="1">
        <v>7.6</v>
      </c>
      <c r="F21" s="1">
        <v>12.6</v>
      </c>
      <c r="G21" s="1">
        <v>18.2</v>
      </c>
      <c r="H21" s="1">
        <v>19.7</v>
      </c>
      <c r="I21" s="1">
        <v>19.5</v>
      </c>
      <c r="J21" s="1">
        <v>15.4</v>
      </c>
      <c r="K21" s="1">
        <v>11.4</v>
      </c>
      <c r="L21" s="1">
        <v>4.4000000000000004</v>
      </c>
      <c r="M21" s="1">
        <v>-1</v>
      </c>
      <c r="N21" s="1">
        <v>9.6</v>
      </c>
      <c r="P21" s="4">
        <f t="shared" si="0"/>
        <v>-1.3666666666666665</v>
      </c>
      <c r="Q21" s="4">
        <f t="shared" si="1"/>
        <v>8.9</v>
      </c>
      <c r="R21" s="4">
        <f t="shared" si="2"/>
        <v>19.133333333333333</v>
      </c>
      <c r="S21" s="4">
        <f t="shared" si="3"/>
        <v>10.4</v>
      </c>
    </row>
    <row r="22" spans="1:19" x14ac:dyDescent="0.2">
      <c r="A22" s="1">
        <v>1981</v>
      </c>
      <c r="B22" s="1">
        <v>-3.3</v>
      </c>
      <c r="C22" s="1">
        <v>0.2</v>
      </c>
      <c r="D22" s="1">
        <v>9</v>
      </c>
      <c r="E22" s="1">
        <v>10.3</v>
      </c>
      <c r="F22" s="1">
        <v>15.4</v>
      </c>
      <c r="G22" s="1">
        <v>19.399999999999999</v>
      </c>
      <c r="H22" s="1">
        <v>19.399999999999999</v>
      </c>
      <c r="I22" s="1">
        <v>19.5</v>
      </c>
      <c r="J22" s="1">
        <v>16.899999999999999</v>
      </c>
      <c r="K22" s="1">
        <v>12.9</v>
      </c>
      <c r="L22" s="1">
        <v>4</v>
      </c>
      <c r="M22" s="1">
        <v>2.2000000000000002</v>
      </c>
      <c r="N22" s="1">
        <v>10.5</v>
      </c>
      <c r="P22" s="4">
        <f t="shared" si="0"/>
        <v>0.16666666666666671</v>
      </c>
      <c r="Q22" s="4">
        <f t="shared" si="1"/>
        <v>11.566666666666668</v>
      </c>
      <c r="R22" s="4">
        <f t="shared" si="2"/>
        <v>19.433333333333334</v>
      </c>
      <c r="S22" s="4">
        <f t="shared" si="3"/>
        <v>11.266666666666666</v>
      </c>
    </row>
    <row r="23" spans="1:19" x14ac:dyDescent="0.2">
      <c r="A23" s="1">
        <v>1982</v>
      </c>
      <c r="B23" s="1">
        <v>-1.6</v>
      </c>
      <c r="C23" s="1">
        <v>-0.1</v>
      </c>
      <c r="D23" s="1">
        <v>5.5</v>
      </c>
      <c r="E23" s="1">
        <v>7.6</v>
      </c>
      <c r="F23" s="1">
        <v>16.2</v>
      </c>
      <c r="G23" s="1">
        <v>20.3</v>
      </c>
      <c r="H23" s="1">
        <v>20.5</v>
      </c>
      <c r="I23" s="1">
        <v>20</v>
      </c>
      <c r="J23" s="1">
        <v>19.399999999999999</v>
      </c>
      <c r="K23" s="1">
        <v>13</v>
      </c>
      <c r="L23" s="1">
        <v>5.9</v>
      </c>
      <c r="M23" s="1">
        <v>4.8</v>
      </c>
      <c r="N23" s="1">
        <v>11</v>
      </c>
      <c r="P23" s="4">
        <f t="shared" si="0"/>
        <v>2.6666666666666665</v>
      </c>
      <c r="Q23" s="4">
        <f t="shared" si="1"/>
        <v>9.7666666666666657</v>
      </c>
      <c r="R23" s="4">
        <f t="shared" si="2"/>
        <v>20.266666666666666</v>
      </c>
      <c r="S23" s="4">
        <f t="shared" si="3"/>
        <v>12.766666666666666</v>
      </c>
    </row>
    <row r="24" spans="1:19" x14ac:dyDescent="0.2">
      <c r="A24" s="1">
        <v>1983</v>
      </c>
      <c r="B24" s="1">
        <v>2.9</v>
      </c>
      <c r="C24" s="1">
        <v>0.3</v>
      </c>
      <c r="D24" s="1">
        <v>7.4</v>
      </c>
      <c r="E24" s="1">
        <v>13.6</v>
      </c>
      <c r="F24" s="1">
        <v>17.8</v>
      </c>
      <c r="G24" s="1">
        <v>17.899999999999999</v>
      </c>
      <c r="H24" s="1">
        <v>21.8</v>
      </c>
      <c r="I24" s="1">
        <v>20.100000000000001</v>
      </c>
      <c r="J24" s="1">
        <v>15.9</v>
      </c>
      <c r="K24" s="1">
        <v>10.5</v>
      </c>
      <c r="L24" s="1">
        <v>3.1</v>
      </c>
      <c r="M24" s="1">
        <v>0.8</v>
      </c>
      <c r="N24" s="1">
        <v>11</v>
      </c>
      <c r="P24" s="4">
        <f t="shared" si="0"/>
        <v>0.76666666666666661</v>
      </c>
      <c r="Q24" s="4">
        <f t="shared" si="1"/>
        <v>12.933333333333332</v>
      </c>
      <c r="R24" s="4">
        <f t="shared" si="2"/>
        <v>19.933333333333334</v>
      </c>
      <c r="S24" s="4">
        <f t="shared" si="3"/>
        <v>9.8333333333333339</v>
      </c>
    </row>
    <row r="25" spans="1:19" x14ac:dyDescent="0.2">
      <c r="A25" s="1">
        <v>1984</v>
      </c>
      <c r="B25" s="1">
        <v>1</v>
      </c>
      <c r="C25" s="1">
        <v>0.5</v>
      </c>
      <c r="D25" s="1">
        <v>4.7</v>
      </c>
      <c r="E25" s="1">
        <v>10.1</v>
      </c>
      <c r="F25" s="1">
        <v>15.1</v>
      </c>
      <c r="G25" s="1">
        <v>17.399999999999999</v>
      </c>
      <c r="H25" s="1">
        <v>18.7</v>
      </c>
      <c r="I25" s="1">
        <v>18.600000000000001</v>
      </c>
      <c r="J25" s="1">
        <v>16.899999999999999</v>
      </c>
      <c r="K25" s="1">
        <v>12.9</v>
      </c>
      <c r="L25" s="1">
        <v>6.3</v>
      </c>
      <c r="M25" s="1">
        <v>1.4</v>
      </c>
      <c r="N25" s="1">
        <v>10.3</v>
      </c>
      <c r="P25" s="4">
        <f t="shared" si="0"/>
        <v>-1.9666666666666668</v>
      </c>
      <c r="Q25" s="4">
        <f t="shared" si="1"/>
        <v>9.9666666666666668</v>
      </c>
      <c r="R25" s="4">
        <f t="shared" si="2"/>
        <v>18.233333333333331</v>
      </c>
      <c r="S25" s="4">
        <f t="shared" si="3"/>
        <v>12.033333333333331</v>
      </c>
    </row>
    <row r="26" spans="1:19" x14ac:dyDescent="0.2">
      <c r="A26" s="1">
        <v>1985</v>
      </c>
      <c r="B26" s="1">
        <v>-4.5</v>
      </c>
      <c r="C26" s="1">
        <v>-2.8</v>
      </c>
      <c r="D26" s="1">
        <v>5.7</v>
      </c>
      <c r="E26" s="1">
        <v>11.4</v>
      </c>
      <c r="F26" s="1">
        <v>17</v>
      </c>
      <c r="G26" s="1">
        <v>16.899999999999999</v>
      </c>
      <c r="H26" s="1">
        <v>21.1</v>
      </c>
      <c r="I26" s="1">
        <v>21</v>
      </c>
      <c r="J26" s="1">
        <v>16.100000000000001</v>
      </c>
      <c r="K26" s="1">
        <v>10</v>
      </c>
      <c r="L26" s="1">
        <v>4.5</v>
      </c>
      <c r="M26" s="1">
        <v>4.4000000000000004</v>
      </c>
      <c r="N26" s="1">
        <v>10.1</v>
      </c>
      <c r="P26" s="4">
        <f t="shared" si="0"/>
        <v>1.0333333333333334</v>
      </c>
      <c r="Q26" s="4">
        <f t="shared" si="1"/>
        <v>11.366666666666667</v>
      </c>
      <c r="R26" s="4">
        <f t="shared" si="2"/>
        <v>19.666666666666668</v>
      </c>
      <c r="S26" s="4">
        <f t="shared" si="3"/>
        <v>10.200000000000001</v>
      </c>
    </row>
    <row r="27" spans="1:19" x14ac:dyDescent="0.2">
      <c r="A27" s="1">
        <v>1986</v>
      </c>
      <c r="B27" s="1">
        <v>1.1000000000000001</v>
      </c>
      <c r="C27" s="1">
        <v>-2.4</v>
      </c>
      <c r="D27" s="1">
        <v>4.5999999999999996</v>
      </c>
      <c r="E27" s="1">
        <v>13.1</v>
      </c>
      <c r="F27" s="1">
        <v>17.5</v>
      </c>
      <c r="G27" s="1">
        <v>17.7</v>
      </c>
      <c r="H27" s="1">
        <v>18.899999999999999</v>
      </c>
      <c r="I27" s="1">
        <v>21.2</v>
      </c>
      <c r="J27" s="1">
        <v>15.6</v>
      </c>
      <c r="K27" s="1">
        <v>10.3</v>
      </c>
      <c r="L27" s="1">
        <v>6</v>
      </c>
      <c r="M27" s="1">
        <v>-0.4</v>
      </c>
      <c r="N27" s="1">
        <v>10.3</v>
      </c>
      <c r="P27" s="4">
        <f t="shared" si="0"/>
        <v>-0.76666666666666661</v>
      </c>
      <c r="Q27" s="4">
        <f t="shared" si="1"/>
        <v>11.733333333333334</v>
      </c>
      <c r="R27" s="4">
        <f t="shared" si="2"/>
        <v>19.266666666666666</v>
      </c>
      <c r="S27" s="4">
        <f t="shared" si="3"/>
        <v>10.633333333333333</v>
      </c>
    </row>
    <row r="28" spans="1:19" x14ac:dyDescent="0.2">
      <c r="A28" s="1">
        <v>1987</v>
      </c>
      <c r="B28" s="1">
        <v>-3.4</v>
      </c>
      <c r="C28" s="1">
        <v>1.5</v>
      </c>
      <c r="D28" s="1">
        <v>1.2</v>
      </c>
      <c r="E28" s="1">
        <v>11.2</v>
      </c>
      <c r="F28" s="1">
        <v>14.6</v>
      </c>
      <c r="G28" s="1">
        <v>19.5</v>
      </c>
      <c r="H28" s="1">
        <v>23.3</v>
      </c>
      <c r="I28" s="1">
        <v>19.600000000000001</v>
      </c>
      <c r="J28" s="1">
        <v>19.7</v>
      </c>
      <c r="K28" s="1">
        <v>12.4</v>
      </c>
      <c r="L28" s="1">
        <v>6.6</v>
      </c>
      <c r="M28" s="1">
        <v>2</v>
      </c>
      <c r="N28" s="1">
        <v>10.7</v>
      </c>
      <c r="P28" s="4">
        <f t="shared" si="0"/>
        <v>3.2333333333333329</v>
      </c>
      <c r="Q28" s="4">
        <f t="shared" si="1"/>
        <v>9</v>
      </c>
      <c r="R28" s="4">
        <f t="shared" si="2"/>
        <v>20.8</v>
      </c>
      <c r="S28" s="4">
        <f t="shared" si="3"/>
        <v>12.9</v>
      </c>
    </row>
    <row r="29" spans="1:19" x14ac:dyDescent="0.2">
      <c r="A29" s="1">
        <v>1988</v>
      </c>
      <c r="B29" s="1">
        <v>3.7</v>
      </c>
      <c r="C29" s="1">
        <v>4</v>
      </c>
      <c r="D29" s="1">
        <v>5.3</v>
      </c>
      <c r="E29" s="1">
        <v>10.5</v>
      </c>
      <c r="F29" s="1">
        <v>16.3</v>
      </c>
      <c r="G29" s="1">
        <v>18.399999999999999</v>
      </c>
      <c r="H29" s="1">
        <v>23</v>
      </c>
      <c r="I29" s="1">
        <v>21.5</v>
      </c>
      <c r="J29" s="1">
        <v>16.5</v>
      </c>
      <c r="K29" s="1">
        <v>10.7</v>
      </c>
      <c r="L29" s="1">
        <v>1</v>
      </c>
      <c r="M29" s="1">
        <v>1.3</v>
      </c>
      <c r="N29" s="1">
        <v>11</v>
      </c>
      <c r="P29" s="4">
        <f t="shared" si="0"/>
        <v>2.1999999999999997</v>
      </c>
      <c r="Q29" s="4">
        <f t="shared" si="1"/>
        <v>10.700000000000001</v>
      </c>
      <c r="R29" s="4">
        <f t="shared" si="2"/>
        <v>20.966666666666665</v>
      </c>
      <c r="S29" s="4">
        <f t="shared" si="3"/>
        <v>9.4</v>
      </c>
    </row>
    <row r="30" spans="1:19" x14ac:dyDescent="0.2">
      <c r="A30" s="1">
        <v>1989</v>
      </c>
      <c r="B30" s="1">
        <v>0</v>
      </c>
      <c r="C30" s="1">
        <v>5.3</v>
      </c>
      <c r="D30" s="1">
        <v>9.3000000000000007</v>
      </c>
      <c r="E30" s="1">
        <v>13.7</v>
      </c>
      <c r="F30" s="1">
        <v>14</v>
      </c>
      <c r="G30" s="1">
        <v>16.899999999999999</v>
      </c>
      <c r="H30" s="1">
        <v>20</v>
      </c>
      <c r="I30" s="1">
        <v>19.600000000000001</v>
      </c>
      <c r="J30" s="1">
        <v>15.8</v>
      </c>
      <c r="K30" s="1">
        <v>10.5</v>
      </c>
      <c r="L30" s="1">
        <v>5.5</v>
      </c>
      <c r="M30" s="1">
        <v>2.7</v>
      </c>
      <c r="N30" s="1">
        <v>11.1</v>
      </c>
      <c r="P30" s="4">
        <f t="shared" si="0"/>
        <v>3.2666666666666671</v>
      </c>
      <c r="Q30" s="4">
        <f t="shared" si="1"/>
        <v>12.333333333333334</v>
      </c>
      <c r="R30" s="4">
        <f t="shared" si="2"/>
        <v>18.833333333333332</v>
      </c>
      <c r="S30" s="4">
        <f t="shared" si="3"/>
        <v>10.6</v>
      </c>
    </row>
    <row r="31" spans="1:19" x14ac:dyDescent="0.2">
      <c r="A31" s="1">
        <v>1990</v>
      </c>
      <c r="B31" s="1">
        <v>0.7</v>
      </c>
      <c r="C31" s="1">
        <v>6.4</v>
      </c>
      <c r="D31" s="1">
        <v>8.9</v>
      </c>
      <c r="E31" s="1">
        <v>10.8</v>
      </c>
      <c r="F31" s="1">
        <v>16.100000000000001</v>
      </c>
      <c r="G31" s="1">
        <v>18.899999999999999</v>
      </c>
      <c r="H31" s="1">
        <v>19.8</v>
      </c>
      <c r="I31" s="1">
        <v>19.899999999999999</v>
      </c>
      <c r="J31" s="1">
        <v>14.8</v>
      </c>
      <c r="K31" s="1">
        <v>12</v>
      </c>
      <c r="L31" s="1">
        <v>7.6</v>
      </c>
      <c r="M31" s="1">
        <v>1.2</v>
      </c>
      <c r="N31" s="2">
        <v>11.424999999999999</v>
      </c>
      <c r="P31" s="4">
        <f t="shared" si="0"/>
        <v>0.39999999999999997</v>
      </c>
      <c r="Q31" s="4">
        <f t="shared" si="1"/>
        <v>11.933333333333335</v>
      </c>
      <c r="R31" s="4">
        <f t="shared" si="2"/>
        <v>19.533333333333335</v>
      </c>
      <c r="S31" s="4">
        <f t="shared" si="3"/>
        <v>11.466666666666667</v>
      </c>
    </row>
    <row r="32" spans="1:19" x14ac:dyDescent="0.2">
      <c r="A32" s="1">
        <v>1991</v>
      </c>
      <c r="B32" s="1">
        <v>0.8</v>
      </c>
      <c r="C32" s="1">
        <v>-0.8</v>
      </c>
      <c r="D32" s="1">
        <v>9.1999999999999993</v>
      </c>
      <c r="E32" s="1">
        <v>8.6999999999999993</v>
      </c>
      <c r="F32" s="1">
        <v>12.2</v>
      </c>
      <c r="G32" s="1">
        <v>19.600000000000001</v>
      </c>
      <c r="H32" s="1">
        <v>21.3</v>
      </c>
      <c r="I32" s="1">
        <v>19.899999999999999</v>
      </c>
      <c r="J32" s="1">
        <v>17.3</v>
      </c>
      <c r="K32" s="1">
        <v>9.9</v>
      </c>
      <c r="L32" s="1">
        <v>6.8</v>
      </c>
      <c r="M32" s="1">
        <v>-1.6</v>
      </c>
      <c r="N32" s="2">
        <v>10.275</v>
      </c>
      <c r="P32" s="4">
        <f t="shared" si="0"/>
        <v>0.79999999999999982</v>
      </c>
      <c r="Q32" s="4">
        <f t="shared" si="1"/>
        <v>10.033333333333333</v>
      </c>
      <c r="R32" s="4">
        <f t="shared" si="2"/>
        <v>20.266666666666669</v>
      </c>
      <c r="S32" s="4">
        <f t="shared" si="3"/>
        <v>11.333333333333334</v>
      </c>
    </row>
    <row r="33" spans="1:19" x14ac:dyDescent="0.2">
      <c r="A33" s="1">
        <v>1992</v>
      </c>
      <c r="B33" s="1">
        <v>0.2</v>
      </c>
      <c r="C33" s="1">
        <v>3.8</v>
      </c>
      <c r="D33" s="1">
        <v>7</v>
      </c>
      <c r="E33" s="1">
        <v>12</v>
      </c>
      <c r="F33" s="1">
        <v>15.6</v>
      </c>
      <c r="G33" s="1">
        <v>19</v>
      </c>
      <c r="H33" s="1">
        <v>21</v>
      </c>
      <c r="I33" s="1">
        <v>24.2</v>
      </c>
      <c r="J33" s="1">
        <v>16.600000000000001</v>
      </c>
      <c r="K33" s="1">
        <v>11.7</v>
      </c>
      <c r="L33" s="1">
        <v>7.5</v>
      </c>
      <c r="M33" s="1">
        <v>1.5</v>
      </c>
      <c r="N33" s="2">
        <v>11.674999999999999</v>
      </c>
      <c r="P33" s="4">
        <f t="shared" si="0"/>
        <v>0.20000000000000004</v>
      </c>
      <c r="Q33" s="4">
        <f t="shared" si="1"/>
        <v>11.533333333333333</v>
      </c>
      <c r="R33" s="4">
        <f t="shared" si="2"/>
        <v>21.400000000000002</v>
      </c>
      <c r="S33" s="4">
        <f t="shared" si="3"/>
        <v>11.933333333333332</v>
      </c>
    </row>
    <row r="34" spans="1:19" x14ac:dyDescent="0.2">
      <c r="A34" s="1">
        <v>1993</v>
      </c>
      <c r="B34" s="1">
        <v>-0.2</v>
      </c>
      <c r="C34" s="1">
        <v>-0.7</v>
      </c>
      <c r="D34" s="1">
        <v>4.5999999999999996</v>
      </c>
      <c r="E34" s="1">
        <v>11.8</v>
      </c>
      <c r="F34" s="1">
        <v>17.7</v>
      </c>
      <c r="G34" s="1">
        <v>19.5</v>
      </c>
      <c r="H34" s="1">
        <v>21.2</v>
      </c>
      <c r="I34" s="1">
        <v>20.8</v>
      </c>
      <c r="J34" s="1">
        <v>16.2</v>
      </c>
      <c r="K34" s="1">
        <v>13</v>
      </c>
      <c r="L34" s="1">
        <v>2.5</v>
      </c>
      <c r="M34" s="1">
        <v>2.5</v>
      </c>
      <c r="N34" s="2">
        <v>10.741666666666667</v>
      </c>
      <c r="P34" s="4">
        <f t="shared" si="0"/>
        <v>2.3000000000000003</v>
      </c>
      <c r="Q34" s="4">
        <f t="shared" si="1"/>
        <v>11.366666666666665</v>
      </c>
      <c r="R34" s="4">
        <f t="shared" si="2"/>
        <v>20.5</v>
      </c>
      <c r="S34" s="4">
        <f t="shared" si="3"/>
        <v>10.566666666666666</v>
      </c>
    </row>
    <row r="35" spans="1:19" x14ac:dyDescent="0.2">
      <c r="A35" s="1">
        <v>1994</v>
      </c>
      <c r="B35" s="1">
        <v>3</v>
      </c>
      <c r="C35" s="1">
        <v>1.4</v>
      </c>
      <c r="D35" s="1">
        <v>9.4</v>
      </c>
      <c r="E35" s="1">
        <v>11</v>
      </c>
      <c r="F35" s="1">
        <v>16.399999999999999</v>
      </c>
      <c r="G35" s="1">
        <v>19.5</v>
      </c>
      <c r="H35" s="1">
        <v>22.1</v>
      </c>
      <c r="I35" s="1">
        <v>22.2</v>
      </c>
      <c r="J35" s="1">
        <v>18.7</v>
      </c>
      <c r="K35" s="1">
        <v>9.5</v>
      </c>
      <c r="L35" s="1">
        <v>7.5</v>
      </c>
      <c r="M35" s="1">
        <v>2.1</v>
      </c>
      <c r="N35" s="2">
        <v>11.9</v>
      </c>
      <c r="P35" s="4">
        <f t="shared" si="0"/>
        <v>2.5</v>
      </c>
      <c r="Q35" s="4">
        <f t="shared" si="1"/>
        <v>12.266666666666666</v>
      </c>
      <c r="R35" s="4">
        <f t="shared" si="2"/>
        <v>21.266666666666666</v>
      </c>
      <c r="S35" s="4">
        <f t="shared" si="3"/>
        <v>11.9</v>
      </c>
    </row>
    <row r="36" spans="1:19" x14ac:dyDescent="0.2">
      <c r="A36" s="1">
        <v>1995</v>
      </c>
      <c r="B36" s="1">
        <v>-0.9</v>
      </c>
      <c r="C36" s="1">
        <v>6.3</v>
      </c>
      <c r="D36" s="1">
        <v>5.6</v>
      </c>
      <c r="E36" s="1">
        <v>9.1999999999999993</v>
      </c>
      <c r="F36" s="1">
        <v>15.7</v>
      </c>
      <c r="G36" s="1">
        <v>17.899999999999999</v>
      </c>
      <c r="H36" s="1">
        <v>22.5</v>
      </c>
      <c r="I36" s="1">
        <v>19.3</v>
      </c>
      <c r="J36" s="1">
        <f>AVERAGE(J35,J37)</f>
        <v>15.899999999999999</v>
      </c>
      <c r="K36" s="1">
        <f>AVERAGE(K35,K37)</f>
        <v>10.6</v>
      </c>
      <c r="L36" s="1">
        <v>3.9</v>
      </c>
      <c r="M36" s="1">
        <v>1.8</v>
      </c>
      <c r="N36" s="2">
        <f>AVERAGE(B36:M36)</f>
        <v>10.65</v>
      </c>
      <c r="P36" s="4">
        <f t="shared" si="0"/>
        <v>2.0333333333333337</v>
      </c>
      <c r="Q36" s="4">
        <f>AVERAGE(D36:F36)</f>
        <v>10.166666666666666</v>
      </c>
      <c r="R36" s="4">
        <f>AVERAGE(G36:I36)</f>
        <v>19.900000000000002</v>
      </c>
      <c r="S36" s="4">
        <f>AVERAGE(J36:L36)</f>
        <v>10.133333333333333</v>
      </c>
    </row>
    <row r="37" spans="1:19" x14ac:dyDescent="0.2">
      <c r="A37" s="1">
        <v>1996</v>
      </c>
      <c r="B37" s="1">
        <f>AVERAGE(B36,B38)</f>
        <v>-0.6</v>
      </c>
      <c r="C37" s="1">
        <f>AVERAGE(C36,C38)</f>
        <v>4.9000000000000004</v>
      </c>
      <c r="D37" s="1">
        <v>3</v>
      </c>
      <c r="E37" s="1">
        <v>11</v>
      </c>
      <c r="F37" s="1">
        <v>17</v>
      </c>
      <c r="G37" s="1">
        <v>20</v>
      </c>
      <c r="H37" s="1">
        <v>19.5</v>
      </c>
      <c r="I37" s="1">
        <v>20.399999999999999</v>
      </c>
      <c r="J37" s="1">
        <v>13.1</v>
      </c>
      <c r="K37" s="1">
        <v>11.7</v>
      </c>
      <c r="L37" s="1">
        <v>8.1999999999999993</v>
      </c>
      <c r="M37" s="1">
        <v>-0.6</v>
      </c>
      <c r="N37" s="2">
        <f>AVERAGE(B37:M37)</f>
        <v>10.633333333333333</v>
      </c>
      <c r="P37" s="4">
        <f t="shared" si="0"/>
        <v>0.8666666666666667</v>
      </c>
      <c r="Q37" s="4">
        <f>AVERAGE(D37:F37)</f>
        <v>10.333333333333334</v>
      </c>
      <c r="R37" s="4">
        <f>AVERAGE(G37:I37)</f>
        <v>19.966666666666665</v>
      </c>
      <c r="S37" s="4">
        <f>AVERAGE(J37:L37)</f>
        <v>11</v>
      </c>
    </row>
    <row r="38" spans="1:19" x14ac:dyDescent="0.2">
      <c r="A38" s="1">
        <v>1997</v>
      </c>
      <c r="B38" s="1">
        <v>-0.3</v>
      </c>
      <c r="C38" s="1">
        <v>3.5</v>
      </c>
      <c r="D38" s="1">
        <v>5.6</v>
      </c>
      <c r="E38" s="1">
        <v>7.1</v>
      </c>
      <c r="F38" s="1">
        <v>16.7</v>
      </c>
      <c r="G38" s="1">
        <v>20.399999999999999</v>
      </c>
      <c r="H38" s="1">
        <v>19.899999999999999</v>
      </c>
      <c r="I38" s="1">
        <v>19.399999999999999</v>
      </c>
      <c r="J38" s="1">
        <v>15.5</v>
      </c>
      <c r="K38" s="1">
        <v>8.5</v>
      </c>
      <c r="L38" s="1">
        <v>7</v>
      </c>
      <c r="M38" s="1">
        <v>3.3</v>
      </c>
      <c r="N38" s="2">
        <v>10.55</v>
      </c>
      <c r="P38" s="4">
        <f t="shared" si="0"/>
        <v>3.5333333333333332</v>
      </c>
      <c r="Q38" s="4">
        <f>AVERAGE(D38:F38)</f>
        <v>9.7999999999999989</v>
      </c>
      <c r="R38" s="4">
        <f>AVERAGE(G38:I38)</f>
        <v>19.899999999999999</v>
      </c>
      <c r="S38" s="4">
        <f>AVERAGE(J38:L38)</f>
        <v>10.333333333333334</v>
      </c>
    </row>
    <row r="39" spans="1:19" x14ac:dyDescent="0.2">
      <c r="A39" s="1">
        <v>1998</v>
      </c>
      <c r="B39" s="1">
        <v>3</v>
      </c>
      <c r="C39" s="1">
        <v>4.3</v>
      </c>
      <c r="D39" s="1">
        <v>4.5</v>
      </c>
      <c r="E39" s="1">
        <v>13</v>
      </c>
      <c r="F39" s="1">
        <v>15</v>
      </c>
      <c r="G39" s="1">
        <v>20.6</v>
      </c>
      <c r="H39" s="1">
        <v>21.8</v>
      </c>
      <c r="I39" s="1">
        <v>20.9</v>
      </c>
      <c r="J39" s="1">
        <v>15.9</v>
      </c>
      <c r="K39" s="1">
        <v>12.4</v>
      </c>
      <c r="L39" s="1">
        <v>3.9</v>
      </c>
      <c r="M39" s="1">
        <v>-2.2000000000000002</v>
      </c>
      <c r="N39" s="2">
        <v>11.091666666666667</v>
      </c>
      <c r="P39" s="4">
        <f t="shared" si="0"/>
        <v>-0.30000000000000004</v>
      </c>
      <c r="Q39" s="4">
        <f t="shared" si="1"/>
        <v>10.833333333333334</v>
      </c>
      <c r="R39" s="4">
        <f t="shared" si="2"/>
        <v>21.1</v>
      </c>
      <c r="S39" s="4">
        <f t="shared" si="3"/>
        <v>10.733333333333334</v>
      </c>
    </row>
    <row r="40" spans="1:19" x14ac:dyDescent="0.2">
      <c r="A40" s="1">
        <v>1999</v>
      </c>
      <c r="B40" s="1">
        <v>0.3</v>
      </c>
      <c r="C40" s="1">
        <v>1</v>
      </c>
      <c r="D40" s="1">
        <v>8.5</v>
      </c>
      <c r="E40" s="1">
        <v>12.3</v>
      </c>
      <c r="F40" s="1">
        <v>16.5</v>
      </c>
      <c r="G40" s="1">
        <v>19.600000000000001</v>
      </c>
      <c r="H40" s="1">
        <v>20.9</v>
      </c>
      <c r="I40" s="1">
        <v>21.5</v>
      </c>
      <c r="J40" s="1">
        <v>18</v>
      </c>
      <c r="K40" s="1">
        <v>11.8</v>
      </c>
      <c r="L40" s="1">
        <v>4.4000000000000004</v>
      </c>
      <c r="M40" s="1">
        <v>1.5</v>
      </c>
      <c r="N40" s="2">
        <v>11.358333333333334</v>
      </c>
      <c r="P40" s="4">
        <f t="shared" si="0"/>
        <v>1.0333333333333332</v>
      </c>
      <c r="Q40" s="4">
        <f t="shared" si="1"/>
        <v>12.433333333333332</v>
      </c>
      <c r="R40" s="4">
        <f t="shared" si="2"/>
        <v>20.666666666666668</v>
      </c>
      <c r="S40" s="4">
        <f t="shared" si="3"/>
        <v>11.4</v>
      </c>
    </row>
    <row r="41" spans="1:19" x14ac:dyDescent="0.2">
      <c r="A41" s="1">
        <v>2000</v>
      </c>
      <c r="B41" s="1">
        <v>-1.7</v>
      </c>
      <c r="C41" s="1">
        <v>3.3</v>
      </c>
      <c r="D41" s="1">
        <v>6.9</v>
      </c>
      <c r="E41" s="1">
        <v>14</v>
      </c>
      <c r="F41" s="1">
        <v>17.3</v>
      </c>
      <c r="G41" s="1">
        <v>20.7</v>
      </c>
      <c r="H41" s="1">
        <v>20.9</v>
      </c>
      <c r="I41" s="1">
        <v>23</v>
      </c>
      <c r="J41" s="1">
        <v>16.3</v>
      </c>
      <c r="K41" s="1">
        <v>13.6</v>
      </c>
      <c r="L41" s="1">
        <v>11</v>
      </c>
      <c r="M41" s="1">
        <v>4.0999999999999996</v>
      </c>
      <c r="N41" s="2">
        <v>12.450000000000001</v>
      </c>
      <c r="P41" s="4">
        <f t="shared" si="0"/>
        <v>4.2333333333333334</v>
      </c>
      <c r="Q41" s="4">
        <f t="shared" si="1"/>
        <v>12.733333333333334</v>
      </c>
      <c r="R41" s="4">
        <f t="shared" si="2"/>
        <v>21.533333333333331</v>
      </c>
      <c r="S41" s="4">
        <f t="shared" si="3"/>
        <v>13.633333333333333</v>
      </c>
    </row>
    <row r="42" spans="1:19" x14ac:dyDescent="0.2">
      <c r="A42" s="1">
        <v>2001</v>
      </c>
      <c r="B42" s="1">
        <v>4.2</v>
      </c>
      <c r="C42" s="1">
        <v>4.4000000000000004</v>
      </c>
      <c r="D42" s="1">
        <v>11.3</v>
      </c>
      <c r="E42" s="1">
        <v>10.9</v>
      </c>
      <c r="F42" s="1">
        <v>17.100000000000001</v>
      </c>
      <c r="G42" s="1">
        <v>17.8</v>
      </c>
      <c r="H42" s="1">
        <v>21.4</v>
      </c>
      <c r="I42" s="1">
        <v>21.8</v>
      </c>
      <c r="J42" s="1">
        <v>14.8</v>
      </c>
      <c r="K42" s="1">
        <v>14.1</v>
      </c>
      <c r="L42" s="1">
        <v>3.6</v>
      </c>
      <c r="M42" s="1">
        <v>-2.4</v>
      </c>
      <c r="N42" s="2">
        <v>11.58333333333333</v>
      </c>
      <c r="P42" s="4">
        <f t="shared" si="0"/>
        <v>0.73333333333333339</v>
      </c>
      <c r="Q42" s="4">
        <f t="shared" si="1"/>
        <v>13.100000000000001</v>
      </c>
      <c r="R42" s="4">
        <f t="shared" si="2"/>
        <v>20.333333333333332</v>
      </c>
      <c r="S42" s="4">
        <f t="shared" si="3"/>
        <v>10.833333333333334</v>
      </c>
    </row>
    <row r="43" spans="1:19" x14ac:dyDescent="0.2">
      <c r="A43" s="1">
        <v>2002</v>
      </c>
      <c r="B43" s="1">
        <v>-1.2</v>
      </c>
      <c r="C43" s="1">
        <v>5.8</v>
      </c>
      <c r="D43" s="1">
        <v>8.9</v>
      </c>
      <c r="E43" s="1">
        <v>10.9</v>
      </c>
      <c r="F43" s="1">
        <v>17.600000000000001</v>
      </c>
      <c r="G43" s="1">
        <v>20.8</v>
      </c>
      <c r="H43" s="1">
        <v>22.4</v>
      </c>
      <c r="I43" s="1">
        <v>20.5</v>
      </c>
      <c r="J43" s="1">
        <v>15.2</v>
      </c>
      <c r="K43" s="1">
        <v>12</v>
      </c>
      <c r="L43" s="1">
        <v>10.5</v>
      </c>
      <c r="M43" s="1">
        <v>1.9</v>
      </c>
      <c r="N43" s="2">
        <v>12.108333333333333</v>
      </c>
      <c r="P43" s="4">
        <f t="shared" si="0"/>
        <v>6.6666666666666652E-2</v>
      </c>
      <c r="Q43" s="4">
        <f t="shared" si="1"/>
        <v>12.466666666666669</v>
      </c>
      <c r="R43" s="4">
        <f t="shared" si="2"/>
        <v>21.233333333333334</v>
      </c>
      <c r="S43" s="4">
        <f t="shared" si="3"/>
        <v>12.566666666666668</v>
      </c>
    </row>
    <row r="44" spans="1:19" x14ac:dyDescent="0.2">
      <c r="A44" s="1">
        <v>2003</v>
      </c>
      <c r="B44" s="1">
        <v>-0.2</v>
      </c>
      <c r="C44" s="1">
        <v>-1.5</v>
      </c>
      <c r="D44" s="1">
        <v>6.2</v>
      </c>
      <c r="E44" s="1">
        <v>10.9</v>
      </c>
      <c r="F44" s="1">
        <v>18.8</v>
      </c>
      <c r="G44" s="1">
        <v>23.5</v>
      </c>
      <c r="H44" s="1">
        <v>22.3</v>
      </c>
      <c r="I44" s="1">
        <v>23.6</v>
      </c>
      <c r="J44" s="1">
        <v>15.6</v>
      </c>
      <c r="K44" s="1">
        <v>9.8000000000000007</v>
      </c>
      <c r="L44" s="1">
        <v>7.9</v>
      </c>
      <c r="M44" s="1">
        <v>1.1000000000000001</v>
      </c>
      <c r="N44" s="2">
        <v>11.5</v>
      </c>
      <c r="P44" s="4">
        <f t="shared" si="0"/>
        <v>1.0333333333333332</v>
      </c>
      <c r="Q44" s="4">
        <f t="shared" si="1"/>
        <v>11.966666666666669</v>
      </c>
      <c r="R44" s="4">
        <f t="shared" si="2"/>
        <v>23.133333333333336</v>
      </c>
      <c r="S44" s="4">
        <f t="shared" si="3"/>
        <v>11.1</v>
      </c>
    </row>
    <row r="45" spans="1:19" x14ac:dyDescent="0.2">
      <c r="A45" s="1">
        <v>2004</v>
      </c>
      <c r="B45" s="1">
        <v>-0.3</v>
      </c>
      <c r="C45" s="1">
        <v>2.2999999999999998</v>
      </c>
      <c r="D45" s="1">
        <v>6.1</v>
      </c>
      <c r="E45" s="1">
        <v>12.1</v>
      </c>
      <c r="F45" s="1">
        <v>14.5</v>
      </c>
      <c r="G45" s="1">
        <v>19.5</v>
      </c>
      <c r="H45" s="1">
        <v>21.3</v>
      </c>
      <c r="I45" s="1">
        <v>20.6</v>
      </c>
      <c r="J45" s="1">
        <v>15.6</v>
      </c>
      <c r="K45" s="1">
        <v>14</v>
      </c>
      <c r="L45" s="1">
        <v>5.5</v>
      </c>
      <c r="M45" s="1">
        <v>2.2000000000000002</v>
      </c>
      <c r="N45" s="2">
        <v>11.116666666666665</v>
      </c>
      <c r="P45" s="4">
        <f t="shared" si="0"/>
        <v>-3.3333333333333215E-2</v>
      </c>
      <c r="Q45" s="4">
        <f t="shared" si="1"/>
        <v>10.9</v>
      </c>
      <c r="R45" s="4">
        <f t="shared" si="2"/>
        <v>20.466666666666665</v>
      </c>
      <c r="S45" s="4">
        <f t="shared" si="3"/>
        <v>11.700000000000001</v>
      </c>
    </row>
    <row r="46" spans="1:19" x14ac:dyDescent="0.2">
      <c r="A46" s="1">
        <v>2005</v>
      </c>
      <c r="B46" s="1">
        <v>0.1</v>
      </c>
      <c r="C46" s="1">
        <v>-2.4</v>
      </c>
      <c r="D46" s="1">
        <v>3.8</v>
      </c>
      <c r="E46" s="1">
        <v>11.2</v>
      </c>
      <c r="F46" s="1">
        <v>16.399999999999999</v>
      </c>
      <c r="G46" s="1">
        <v>19.100000000000001</v>
      </c>
      <c r="H46" s="1">
        <v>21.1</v>
      </c>
      <c r="I46" s="1">
        <v>19.399999999999999</v>
      </c>
      <c r="J46" s="1">
        <v>16.899999999999999</v>
      </c>
      <c r="K46" s="1">
        <v>11.4</v>
      </c>
      <c r="L46" s="1">
        <v>5.9</v>
      </c>
      <c r="M46" s="1">
        <v>1.9</v>
      </c>
      <c r="N46" s="2">
        <v>10.400000000000004</v>
      </c>
      <c r="P46" s="4">
        <f t="shared" si="0"/>
        <v>0.6333333333333333</v>
      </c>
      <c r="Q46" s="4">
        <f t="shared" si="1"/>
        <v>10.466666666666667</v>
      </c>
      <c r="R46" s="4">
        <f t="shared" si="2"/>
        <v>19.866666666666667</v>
      </c>
      <c r="S46" s="4">
        <f t="shared" si="3"/>
        <v>11.399999999999999</v>
      </c>
    </row>
    <row r="47" spans="1:19" x14ac:dyDescent="0.2">
      <c r="A47" s="1">
        <v>2006</v>
      </c>
      <c r="B47" s="1">
        <v>-1.6</v>
      </c>
      <c r="C47" s="1">
        <v>1.6</v>
      </c>
      <c r="D47" s="1">
        <v>5.8</v>
      </c>
      <c r="E47" s="1">
        <v>12.3</v>
      </c>
      <c r="F47" s="1">
        <v>15.7</v>
      </c>
      <c r="G47" s="1">
        <v>19.5</v>
      </c>
      <c r="H47" s="1">
        <v>22.4</v>
      </c>
      <c r="I47" s="1">
        <v>19.3</v>
      </c>
      <c r="J47" s="1">
        <v>17.100000000000001</v>
      </c>
      <c r="K47" s="1">
        <v>12.9</v>
      </c>
      <c r="L47" s="1">
        <v>7.4</v>
      </c>
      <c r="M47" s="1">
        <v>3.8</v>
      </c>
      <c r="N47" s="2">
        <v>11.350000000000001</v>
      </c>
      <c r="P47" s="4">
        <f t="shared" si="0"/>
        <v>5.0666666666666664</v>
      </c>
      <c r="Q47" s="4">
        <f t="shared" si="1"/>
        <v>11.266666666666666</v>
      </c>
      <c r="R47" s="4">
        <f t="shared" si="2"/>
        <v>20.400000000000002</v>
      </c>
      <c r="S47" s="4">
        <f t="shared" si="3"/>
        <v>12.466666666666667</v>
      </c>
    </row>
    <row r="48" spans="1:19" x14ac:dyDescent="0.2">
      <c r="A48" s="1">
        <v>2007</v>
      </c>
      <c r="B48" s="1">
        <v>4.5999999999999996</v>
      </c>
      <c r="C48" s="1">
        <v>6.8</v>
      </c>
      <c r="D48" s="1">
        <v>9</v>
      </c>
      <c r="E48" s="1">
        <v>12.4</v>
      </c>
      <c r="F48" s="1">
        <v>17.8</v>
      </c>
      <c r="G48" s="1">
        <v>22.1</v>
      </c>
      <c r="H48" s="1">
        <v>23</v>
      </c>
      <c r="I48" s="1">
        <v>22.3</v>
      </c>
      <c r="J48" s="1">
        <v>14.2</v>
      </c>
      <c r="K48" s="1">
        <v>9.9</v>
      </c>
      <c r="L48" s="1">
        <v>3.6</v>
      </c>
      <c r="M48" s="1">
        <v>0.6</v>
      </c>
      <c r="N48" s="2">
        <v>12.191666666666665</v>
      </c>
      <c r="P48" s="4">
        <f t="shared" si="0"/>
        <v>2.6666666666666665</v>
      </c>
      <c r="Q48" s="4">
        <f t="shared" si="1"/>
        <v>13.066666666666668</v>
      </c>
      <c r="R48" s="4">
        <f t="shared" si="2"/>
        <v>22.466666666666669</v>
      </c>
      <c r="S48" s="4">
        <f t="shared" si="3"/>
        <v>9.2333333333333343</v>
      </c>
    </row>
    <row r="49" spans="1:19" x14ac:dyDescent="0.2">
      <c r="A49" s="1">
        <v>2008</v>
      </c>
      <c r="B49" s="1">
        <v>2.6</v>
      </c>
      <c r="C49" s="1">
        <v>4.8</v>
      </c>
      <c r="D49" s="1">
        <v>7.5</v>
      </c>
      <c r="E49" s="1">
        <v>12.2</v>
      </c>
      <c r="F49" s="1">
        <v>17.2</v>
      </c>
      <c r="G49" s="1">
        <v>21.1</v>
      </c>
      <c r="H49" s="1">
        <v>21.6</v>
      </c>
      <c r="I49" s="1">
        <v>21.5</v>
      </c>
      <c r="J49" s="1">
        <v>15.4</v>
      </c>
      <c r="K49" s="1">
        <v>12.9</v>
      </c>
      <c r="L49" s="1">
        <v>7.6</v>
      </c>
      <c r="M49" s="1">
        <v>4</v>
      </c>
      <c r="N49" s="2">
        <v>12.366666666666667</v>
      </c>
      <c r="P49" s="4">
        <f t="shared" si="0"/>
        <v>1.8</v>
      </c>
      <c r="Q49" s="4">
        <f t="shared" si="1"/>
        <v>12.299999999999999</v>
      </c>
      <c r="R49" s="4">
        <f t="shared" si="2"/>
        <v>21.400000000000002</v>
      </c>
      <c r="S49" s="4">
        <f t="shared" si="3"/>
        <v>11.966666666666667</v>
      </c>
    </row>
    <row r="50" spans="1:19" x14ac:dyDescent="0.2">
      <c r="A50" s="1">
        <v>2009</v>
      </c>
      <c r="B50" s="1">
        <v>-1.2</v>
      </c>
      <c r="C50" s="1">
        <v>2.6</v>
      </c>
      <c r="D50" s="1">
        <v>7.2</v>
      </c>
      <c r="E50" s="1">
        <v>13.5</v>
      </c>
      <c r="F50" s="1">
        <v>18.2</v>
      </c>
      <c r="G50" s="1">
        <v>19.399999999999999</v>
      </c>
      <c r="H50" s="1">
        <v>22.3</v>
      </c>
      <c r="I50" s="1">
        <v>21.7</v>
      </c>
      <c r="J50" s="1">
        <v>17.8</v>
      </c>
      <c r="K50" s="1">
        <v>11</v>
      </c>
      <c r="L50" s="1">
        <v>7.9</v>
      </c>
      <c r="M50" s="1">
        <v>3.9</v>
      </c>
      <c r="N50" s="2">
        <v>12.025</v>
      </c>
      <c r="P50" s="4">
        <f t="shared" si="0"/>
        <v>2.1333333333333333</v>
      </c>
      <c r="Q50" s="4">
        <f t="shared" si="1"/>
        <v>12.966666666666667</v>
      </c>
      <c r="R50" s="4">
        <f t="shared" si="2"/>
        <v>21.133333333333336</v>
      </c>
      <c r="S50" s="4">
        <f t="shared" si="3"/>
        <v>12.233333333333334</v>
      </c>
    </row>
    <row r="51" spans="1:19" x14ac:dyDescent="0.2">
      <c r="A51" s="1">
        <v>2010</v>
      </c>
      <c r="B51" s="1">
        <v>0.6</v>
      </c>
      <c r="C51" s="1">
        <v>1.9</v>
      </c>
      <c r="D51" s="1">
        <v>7.1</v>
      </c>
      <c r="E51" s="1">
        <v>11.9</v>
      </c>
      <c r="F51" s="1">
        <v>16</v>
      </c>
      <c r="G51" s="1">
        <v>19.7</v>
      </c>
      <c r="H51" s="1">
        <v>22.3</v>
      </c>
      <c r="I51" s="1">
        <v>21.3</v>
      </c>
      <c r="J51" s="1">
        <v>15.6</v>
      </c>
      <c r="K51" s="1">
        <v>9.1999999999999993</v>
      </c>
      <c r="L51" s="1">
        <v>8.8000000000000007</v>
      </c>
      <c r="M51" s="1">
        <v>1.8</v>
      </c>
      <c r="N51" s="2">
        <v>11.350000000000001</v>
      </c>
      <c r="P51" s="4">
        <f t="shared" si="0"/>
        <v>1.4000000000000001</v>
      </c>
      <c r="Q51" s="4">
        <f t="shared" si="1"/>
        <v>11.666666666666666</v>
      </c>
      <c r="R51" s="4">
        <f t="shared" si="2"/>
        <v>21.099999999999998</v>
      </c>
      <c r="S51" s="4">
        <f t="shared" si="3"/>
        <v>11.199999999999998</v>
      </c>
    </row>
    <row r="52" spans="1:19" x14ac:dyDescent="0.2">
      <c r="A52" s="1">
        <v>2011</v>
      </c>
      <c r="B52" s="1">
        <v>1.2</v>
      </c>
      <c r="C52" s="1">
        <v>1.2</v>
      </c>
      <c r="D52" s="1">
        <v>6.5</v>
      </c>
      <c r="E52" s="1">
        <v>12.7</v>
      </c>
      <c r="F52" s="1">
        <v>15.6</v>
      </c>
      <c r="G52" s="1">
        <v>20.5</v>
      </c>
      <c r="H52" s="1">
        <v>22.8</v>
      </c>
      <c r="I52" s="1">
        <v>23.4</v>
      </c>
      <c r="J52" s="1">
        <v>20</v>
      </c>
      <c r="K52" s="1">
        <v>10.7</v>
      </c>
      <c r="L52" s="1">
        <v>2.8</v>
      </c>
      <c r="M52" s="1">
        <v>3.6</v>
      </c>
      <c r="N52" s="2">
        <v>11.75</v>
      </c>
      <c r="P52" s="4">
        <f t="shared" si="0"/>
        <v>0.56666666666666676</v>
      </c>
      <c r="Q52" s="4">
        <f t="shared" si="1"/>
        <v>11.6</v>
      </c>
      <c r="R52" s="4">
        <f t="shared" si="2"/>
        <v>22.233333333333331</v>
      </c>
      <c r="S52" s="4">
        <f t="shared" si="3"/>
        <v>11.166666666666666</v>
      </c>
    </row>
    <row r="53" spans="1:19" x14ac:dyDescent="0.2">
      <c r="A53" s="1">
        <v>2012</v>
      </c>
      <c r="B53" s="1">
        <v>1.6</v>
      </c>
      <c r="C53" s="1">
        <v>-3.5</v>
      </c>
      <c r="D53" s="1">
        <v>8.6</v>
      </c>
      <c r="E53" s="1">
        <v>12.4</v>
      </c>
      <c r="F53" s="1">
        <v>16</v>
      </c>
      <c r="G53" s="1">
        <v>22.4</v>
      </c>
      <c r="H53" s="1">
        <v>24.9</v>
      </c>
      <c r="I53" s="1">
        <v>23.8</v>
      </c>
      <c r="J53" s="1">
        <v>18.3</v>
      </c>
      <c r="K53" s="1">
        <v>12.2</v>
      </c>
      <c r="L53" s="1">
        <v>10.1</v>
      </c>
      <c r="M53" s="1">
        <v>1</v>
      </c>
      <c r="N53" s="2">
        <v>12.316666666666665</v>
      </c>
      <c r="P53" s="4">
        <f t="shared" si="0"/>
        <v>2.2333333333333334</v>
      </c>
      <c r="Q53" s="4">
        <f t="shared" si="1"/>
        <v>12.333333333333334</v>
      </c>
      <c r="R53" s="4">
        <f t="shared" si="2"/>
        <v>23.7</v>
      </c>
      <c r="S53" s="4">
        <f t="shared" si="3"/>
        <v>13.533333333333333</v>
      </c>
    </row>
    <row r="54" spans="1:19" x14ac:dyDescent="0.2">
      <c r="A54" s="1">
        <v>2013</v>
      </c>
      <c r="B54" s="1">
        <v>3</v>
      </c>
      <c r="C54" s="1">
        <v>2.7</v>
      </c>
      <c r="D54" s="1">
        <v>6.2</v>
      </c>
      <c r="E54" s="1">
        <v>12.9</v>
      </c>
      <c r="F54" s="1">
        <v>16.3</v>
      </c>
      <c r="G54" s="1">
        <v>20.2</v>
      </c>
      <c r="H54" s="1">
        <v>22.2</v>
      </c>
      <c r="I54" s="1">
        <v>22.5</v>
      </c>
      <c r="J54" s="1">
        <v>15.9</v>
      </c>
      <c r="K54" s="1">
        <v>13</v>
      </c>
      <c r="L54" s="1">
        <v>7.6</v>
      </c>
      <c r="M54" s="1">
        <v>1.6</v>
      </c>
      <c r="N54" s="2">
        <v>12.008333333333333</v>
      </c>
      <c r="P54" s="4">
        <f t="shared" si="0"/>
        <v>4.5</v>
      </c>
      <c r="Q54" s="4">
        <f t="shared" si="1"/>
        <v>11.800000000000002</v>
      </c>
      <c r="R54" s="4">
        <f t="shared" si="2"/>
        <v>21.633333333333336</v>
      </c>
      <c r="S54" s="4">
        <f t="shared" si="3"/>
        <v>12.166666666666666</v>
      </c>
    </row>
    <row r="55" spans="1:19" x14ac:dyDescent="0.2">
      <c r="A55" s="1">
        <v>2014</v>
      </c>
      <c r="B55" s="1">
        <v>5.0999999999999996</v>
      </c>
      <c r="C55" s="1">
        <v>6.8</v>
      </c>
      <c r="D55" s="1">
        <v>8.9</v>
      </c>
      <c r="E55" s="1">
        <v>12.8</v>
      </c>
      <c r="F55" s="1">
        <v>15.2</v>
      </c>
      <c r="G55" s="1">
        <v>20.2</v>
      </c>
      <c r="H55" s="1">
        <v>21.2</v>
      </c>
      <c r="I55" s="1">
        <v>20.2</v>
      </c>
      <c r="J55" s="1">
        <v>16.399999999999999</v>
      </c>
      <c r="K55" s="1">
        <v>13.2</v>
      </c>
      <c r="L55" s="1">
        <v>8.8000000000000007</v>
      </c>
      <c r="M55" s="1">
        <v>3.4</v>
      </c>
      <c r="N55" s="2">
        <v>12.683333333333335</v>
      </c>
      <c r="P55" s="4">
        <f t="shared" si="0"/>
        <v>2.9666666666666668</v>
      </c>
      <c r="Q55" s="4">
        <f t="shared" si="1"/>
        <v>12.300000000000002</v>
      </c>
      <c r="R55" s="4">
        <f t="shared" si="2"/>
        <v>20.533333333333331</v>
      </c>
      <c r="S55" s="4">
        <f t="shared" si="3"/>
        <v>12.799999999999999</v>
      </c>
    </row>
    <row r="56" spans="1:19" x14ac:dyDescent="0.2">
      <c r="A56" s="1">
        <v>2015</v>
      </c>
      <c r="B56" s="1">
        <v>3</v>
      </c>
      <c r="C56" s="1">
        <v>2.5</v>
      </c>
      <c r="D56" s="1">
        <v>7.1</v>
      </c>
      <c r="E56" s="1">
        <v>11.6</v>
      </c>
      <c r="F56" s="1">
        <v>17.5</v>
      </c>
      <c r="G56" s="1">
        <v>20.2</v>
      </c>
      <c r="H56" s="1">
        <v>24.5</v>
      </c>
      <c r="I56" s="1">
        <v>23.8</v>
      </c>
      <c r="J56" s="1">
        <v>18.2</v>
      </c>
      <c r="K56" s="1">
        <v>12</v>
      </c>
      <c r="L56" s="1">
        <v>6.4</v>
      </c>
      <c r="M56" s="1">
        <v>2.9</v>
      </c>
      <c r="N56" s="2">
        <v>12.475000000000001</v>
      </c>
      <c r="P56" s="4">
        <f t="shared" si="0"/>
        <v>4.1000000000000005</v>
      </c>
      <c r="Q56" s="4">
        <f t="shared" si="1"/>
        <v>12.066666666666668</v>
      </c>
      <c r="R56" s="4">
        <f t="shared" si="2"/>
        <v>22.833333333333332</v>
      </c>
      <c r="S56" s="4">
        <f t="shared" si="3"/>
        <v>12.200000000000001</v>
      </c>
    </row>
    <row r="57" spans="1:19" x14ac:dyDescent="0.2">
      <c r="A57" s="1">
        <v>2016</v>
      </c>
      <c r="B57" s="1">
        <v>1.8</v>
      </c>
      <c r="C57" s="1">
        <v>7.6</v>
      </c>
      <c r="D57" s="1">
        <v>7.8</v>
      </c>
      <c r="E57" s="1">
        <v>13.3</v>
      </c>
      <c r="F57" s="1">
        <v>15.9</v>
      </c>
      <c r="G57" s="1">
        <v>21.7</v>
      </c>
      <c r="H57" s="1">
        <v>23</v>
      </c>
      <c r="I57" s="1">
        <v>20.2</v>
      </c>
      <c r="J57" s="1">
        <v>17.2</v>
      </c>
      <c r="K57" s="1">
        <v>10.5</v>
      </c>
      <c r="L57" s="1">
        <v>7.4</v>
      </c>
      <c r="M57" s="1">
        <v>0.4</v>
      </c>
      <c r="N57" s="1">
        <v>12.2</v>
      </c>
      <c r="P57" s="4">
        <f t="shared" si="0"/>
        <v>0.16666666666666696</v>
      </c>
      <c r="Q57" s="4">
        <f t="shared" si="1"/>
        <v>12.333333333333334</v>
      </c>
      <c r="R57" s="4">
        <f t="shared" si="2"/>
        <v>21.633333333333336</v>
      </c>
      <c r="S57" s="4">
        <f t="shared" si="3"/>
        <v>11.700000000000001</v>
      </c>
    </row>
    <row r="58" spans="1:19" x14ac:dyDescent="0.2">
      <c r="A58" s="1">
        <v>2017</v>
      </c>
      <c r="B58" s="1">
        <v>-4.5999999999999996</v>
      </c>
      <c r="C58" s="1">
        <v>4.7</v>
      </c>
      <c r="D58" s="1">
        <v>9.5</v>
      </c>
      <c r="E58" s="1">
        <v>11.2</v>
      </c>
      <c r="F58" s="1">
        <v>17.100000000000001</v>
      </c>
      <c r="G58" s="1">
        <v>22.5</v>
      </c>
      <c r="H58" s="1">
        <v>23.3</v>
      </c>
      <c r="I58" s="1">
        <v>23.9</v>
      </c>
      <c r="J58" s="1">
        <v>16.3</v>
      </c>
      <c r="K58" s="1">
        <v>11.7</v>
      </c>
      <c r="L58" s="1">
        <v>6.5</v>
      </c>
      <c r="M58" s="1">
        <v>4.4000000000000004</v>
      </c>
      <c r="N58" s="1">
        <v>12.2</v>
      </c>
      <c r="P58" s="4">
        <f t="shared" si="0"/>
        <v>3.3000000000000003</v>
      </c>
      <c r="Q58" s="4">
        <f t="shared" si="1"/>
        <v>12.6</v>
      </c>
      <c r="R58" s="4">
        <f t="shared" si="2"/>
        <v>23.233333333333331</v>
      </c>
      <c r="S58" s="4">
        <f t="shared" si="3"/>
        <v>11.5</v>
      </c>
    </row>
    <row r="59" spans="1:19" x14ac:dyDescent="0.2">
      <c r="A59" s="1">
        <v>2018</v>
      </c>
      <c r="B59" s="1">
        <v>4.4000000000000004</v>
      </c>
      <c r="C59" s="1">
        <v>1.1000000000000001</v>
      </c>
      <c r="D59" s="1">
        <v>5.3</v>
      </c>
      <c r="E59" s="1">
        <v>16</v>
      </c>
      <c r="F59" s="1">
        <v>19</v>
      </c>
      <c r="G59" s="1">
        <v>20.6</v>
      </c>
      <c r="H59" s="1">
        <v>22</v>
      </c>
      <c r="I59" s="1">
        <v>22.7</v>
      </c>
      <c r="J59" s="1">
        <v>17.2</v>
      </c>
      <c r="K59" s="1">
        <v>13.5</v>
      </c>
      <c r="L59" s="1">
        <v>7.9</v>
      </c>
      <c r="M59" s="1">
        <v>1.9</v>
      </c>
      <c r="N59" s="2">
        <f>AVERAGE(B59:M59)</f>
        <v>12.633333333333335</v>
      </c>
      <c r="P59" s="4">
        <f t="shared" si="0"/>
        <v>2.1666666666666665</v>
      </c>
      <c r="Q59" s="4">
        <f t="shared" si="1"/>
        <v>13.433333333333332</v>
      </c>
      <c r="R59" s="4">
        <f t="shared" si="2"/>
        <v>21.766666666666666</v>
      </c>
      <c r="S59" s="4">
        <f t="shared" si="3"/>
        <v>12.866666666666667</v>
      </c>
    </row>
    <row r="60" spans="1:19" x14ac:dyDescent="0.2">
      <c r="A60" s="1">
        <v>2019</v>
      </c>
      <c r="B60" s="2">
        <v>0.4</v>
      </c>
      <c r="C60" s="2">
        <v>4.2</v>
      </c>
      <c r="D60" s="2">
        <v>9.1</v>
      </c>
      <c r="E60" s="2">
        <v>12.6</v>
      </c>
      <c r="F60" s="2">
        <v>14</v>
      </c>
      <c r="G60" s="2">
        <v>22.8</v>
      </c>
      <c r="H60" s="2">
        <v>22.4</v>
      </c>
      <c r="I60" s="2">
        <v>23.5</v>
      </c>
      <c r="J60" s="2">
        <v>17.600000000000001</v>
      </c>
      <c r="K60" s="2">
        <v>13.2</v>
      </c>
      <c r="L60" s="2">
        <v>11.3</v>
      </c>
      <c r="M60" s="2">
        <v>5</v>
      </c>
      <c r="N60" s="2">
        <f t="shared" ref="N60:N61" si="4">AVERAGE(B60:M60)</f>
        <v>13.008333333333333</v>
      </c>
      <c r="O60" s="4"/>
      <c r="P60" s="4">
        <f t="shared" si="0"/>
        <v>4.0666666666666664</v>
      </c>
      <c r="Q60" s="4">
        <f t="shared" si="1"/>
        <v>11.9</v>
      </c>
      <c r="R60" s="4">
        <f t="shared" si="2"/>
        <v>22.900000000000002</v>
      </c>
      <c r="S60" s="4">
        <f t="shared" si="3"/>
        <v>14.033333333333333</v>
      </c>
    </row>
    <row r="61" spans="1:19" x14ac:dyDescent="0.2">
      <c r="A61" s="1">
        <v>2020</v>
      </c>
      <c r="B61" s="1">
        <v>1.1000000000000001</v>
      </c>
      <c r="C61" s="1">
        <v>6.1</v>
      </c>
      <c r="D61" s="1">
        <v>7.5</v>
      </c>
      <c r="E61" s="1">
        <v>12.5</v>
      </c>
      <c r="F61" s="1">
        <v>15.2</v>
      </c>
      <c r="G61" s="1">
        <v>20.100000000000001</v>
      </c>
      <c r="H61" s="1">
        <v>21.9</v>
      </c>
      <c r="I61" s="1">
        <v>23</v>
      </c>
      <c r="J61" s="1">
        <v>18.3</v>
      </c>
      <c r="K61" s="1">
        <v>12.6</v>
      </c>
      <c r="L61" s="1">
        <v>7.1</v>
      </c>
      <c r="M61" s="1">
        <v>5</v>
      </c>
      <c r="N61" s="2">
        <f t="shared" si="4"/>
        <v>12.533333333333333</v>
      </c>
      <c r="P61" s="4"/>
      <c r="Q61" s="4">
        <f t="shared" si="1"/>
        <v>11.733333333333334</v>
      </c>
      <c r="R61" s="4">
        <f t="shared" si="2"/>
        <v>21.666666666666668</v>
      </c>
      <c r="S61" s="4">
        <f t="shared" si="3"/>
        <v>12.666666666666666</v>
      </c>
    </row>
    <row r="62" spans="1:19" x14ac:dyDescent="0.2">
      <c r="N62" s="4">
        <f>AVERAGE(N2:N61)</f>
        <v>11.165833333333333</v>
      </c>
      <c r="O62" s="4" t="e">
        <f t="shared" ref="O62:S62" si="5">AVERAGE(O2:O61)</f>
        <v>#DIV/0!</v>
      </c>
      <c r="P62" s="4">
        <f t="shared" si="5"/>
        <v>1.3751412429378531</v>
      </c>
      <c r="Q62" s="4">
        <f t="shared" si="5"/>
        <v>11.396111111111111</v>
      </c>
      <c r="R62" s="4">
        <f t="shared" si="5"/>
        <v>20.468888888888895</v>
      </c>
      <c r="S62" s="4">
        <f t="shared" si="5"/>
        <v>11.392777777777773</v>
      </c>
    </row>
    <row r="65" spans="1:19" x14ac:dyDescent="0.2">
      <c r="A65" s="1" t="s">
        <v>31</v>
      </c>
      <c r="B65" s="1" t="s">
        <v>17</v>
      </c>
      <c r="C65" s="1" t="s">
        <v>18</v>
      </c>
      <c r="D65" s="1" t="s">
        <v>19</v>
      </c>
      <c r="E65" s="1" t="s">
        <v>20</v>
      </c>
      <c r="F65" s="1" t="s">
        <v>21</v>
      </c>
      <c r="G65" s="1" t="s">
        <v>22</v>
      </c>
      <c r="H65" s="1" t="s">
        <v>23</v>
      </c>
      <c r="I65" s="1" t="s">
        <v>24</v>
      </c>
      <c r="J65" s="1" t="s">
        <v>25</v>
      </c>
      <c r="K65" s="1" t="s">
        <v>26</v>
      </c>
      <c r="L65" s="1" t="s">
        <v>27</v>
      </c>
      <c r="M65" s="1" t="s">
        <v>28</v>
      </c>
      <c r="N65" s="7" t="s">
        <v>35</v>
      </c>
      <c r="O65" s="8"/>
      <c r="P65" s="9" t="s">
        <v>36</v>
      </c>
      <c r="Q65" s="9" t="s">
        <v>37</v>
      </c>
      <c r="R65" s="9" t="s">
        <v>38</v>
      </c>
      <c r="S65" s="9" t="s">
        <v>39</v>
      </c>
    </row>
    <row r="66" spans="1:19" x14ac:dyDescent="0.2">
      <c r="A66" s="1">
        <v>1961</v>
      </c>
      <c r="B66" s="1">
        <v>-0.4</v>
      </c>
      <c r="C66" s="1">
        <v>2.9</v>
      </c>
      <c r="D66" s="1">
        <v>7.1</v>
      </c>
      <c r="E66" s="1">
        <v>14.1</v>
      </c>
      <c r="F66" s="1">
        <v>12.8</v>
      </c>
      <c r="G66" s="1">
        <v>18.5</v>
      </c>
      <c r="H66" s="1">
        <v>19</v>
      </c>
      <c r="I66" s="1">
        <v>18.899999999999999</v>
      </c>
      <c r="J66" s="1">
        <v>16.7</v>
      </c>
      <c r="K66" s="1">
        <v>13</v>
      </c>
      <c r="L66" s="1">
        <v>7.2</v>
      </c>
      <c r="M66" s="1">
        <v>-0.4</v>
      </c>
      <c r="N66" s="1">
        <v>10.8</v>
      </c>
      <c r="P66" s="4">
        <f>AVERAGE(M66,B67,C67)</f>
        <v>-0.10000000000000002</v>
      </c>
      <c r="Q66" s="4">
        <f>AVERAGE(D66:F66)</f>
        <v>11.333333333333334</v>
      </c>
      <c r="R66" s="4">
        <f>AVERAGE(G66:I66)</f>
        <v>18.8</v>
      </c>
      <c r="S66" s="4">
        <f>AVERAGE(J66:L66)</f>
        <v>12.299999999999999</v>
      </c>
    </row>
    <row r="67" spans="1:19" x14ac:dyDescent="0.2">
      <c r="A67" s="1">
        <v>1962</v>
      </c>
      <c r="B67" s="1">
        <v>0.5</v>
      </c>
      <c r="C67" s="1">
        <v>-0.4</v>
      </c>
      <c r="D67" s="1">
        <v>1.9</v>
      </c>
      <c r="E67" s="1">
        <v>11.4</v>
      </c>
      <c r="F67" s="1">
        <v>15.3</v>
      </c>
      <c r="G67" s="1">
        <v>16.600000000000001</v>
      </c>
      <c r="H67" s="1">
        <v>19.100000000000001</v>
      </c>
      <c r="I67" s="1">
        <v>21.5</v>
      </c>
      <c r="J67" s="1">
        <v>15.9</v>
      </c>
      <c r="K67" s="1">
        <v>10.7</v>
      </c>
      <c r="L67" s="1">
        <v>6.5</v>
      </c>
      <c r="M67" s="1">
        <v>-2.2000000000000002</v>
      </c>
      <c r="N67" s="1">
        <v>9.6999999999999993</v>
      </c>
      <c r="P67" s="4">
        <f t="shared" ref="P67:P124" si="6">AVERAGE(M67,B68,C68)</f>
        <v>-3.5999999999999996</v>
      </c>
      <c r="Q67" s="4">
        <f t="shared" ref="Q67:Q119" si="7">AVERAGE(D67:F67)</f>
        <v>9.5333333333333332</v>
      </c>
      <c r="R67" s="4">
        <f t="shared" ref="R67:R119" si="8">AVERAGE(G67:I67)</f>
        <v>19.066666666666666</v>
      </c>
      <c r="S67" s="4">
        <f t="shared" ref="S67:S119" si="9">AVERAGE(J67:L67)</f>
        <v>11.033333333333333</v>
      </c>
    </row>
    <row r="68" spans="1:19" x14ac:dyDescent="0.2">
      <c r="A68" s="1">
        <v>1963</v>
      </c>
      <c r="B68" s="1">
        <v>-6</v>
      </c>
      <c r="C68" s="1">
        <v>-2.6</v>
      </c>
      <c r="D68" s="1">
        <v>4.2</v>
      </c>
      <c r="E68" s="1">
        <v>11.5</v>
      </c>
      <c r="F68" s="1">
        <v>14.8</v>
      </c>
      <c r="G68" s="1">
        <v>19.2</v>
      </c>
      <c r="H68" s="1">
        <v>20.6</v>
      </c>
      <c r="I68" s="1">
        <v>20.6</v>
      </c>
      <c r="J68" s="1">
        <v>16.600000000000001</v>
      </c>
      <c r="K68" s="1">
        <v>10</v>
      </c>
      <c r="L68" s="1">
        <v>11.4</v>
      </c>
      <c r="M68" s="1">
        <v>-3.2</v>
      </c>
      <c r="N68" s="1">
        <v>9.6999999999999993</v>
      </c>
      <c r="P68" s="4">
        <f t="shared" si="6"/>
        <v>-2.6333333333333337</v>
      </c>
      <c r="Q68" s="4">
        <f t="shared" si="7"/>
        <v>10.166666666666666</v>
      </c>
      <c r="R68" s="4">
        <f t="shared" si="8"/>
        <v>20.133333333333333</v>
      </c>
      <c r="S68" s="4">
        <f t="shared" si="9"/>
        <v>12.666666666666666</v>
      </c>
    </row>
    <row r="69" spans="1:19" x14ac:dyDescent="0.2">
      <c r="A69" s="1">
        <v>1964</v>
      </c>
      <c r="B69" s="1">
        <v>-5.9</v>
      </c>
      <c r="C69" s="1">
        <v>1.2</v>
      </c>
      <c r="D69" s="1">
        <v>4.7</v>
      </c>
      <c r="E69" s="1">
        <v>11.2</v>
      </c>
      <c r="F69" s="1">
        <v>14.1</v>
      </c>
      <c r="G69" s="1">
        <v>19.399999999999999</v>
      </c>
      <c r="H69" s="1">
        <v>18.600000000000001</v>
      </c>
      <c r="I69" s="1">
        <v>17.600000000000001</v>
      </c>
      <c r="J69" s="1">
        <v>14.2</v>
      </c>
      <c r="K69" s="1">
        <v>11.8</v>
      </c>
      <c r="L69" s="1">
        <v>6.8</v>
      </c>
      <c r="M69" s="1">
        <v>1.4</v>
      </c>
      <c r="N69" s="1">
        <v>9.6</v>
      </c>
      <c r="P69" s="4">
        <f t="shared" si="6"/>
        <v>-0.46666666666666662</v>
      </c>
      <c r="Q69" s="4">
        <f t="shared" si="7"/>
        <v>10</v>
      </c>
      <c r="R69" s="4">
        <f t="shared" si="8"/>
        <v>18.533333333333335</v>
      </c>
      <c r="S69" s="4">
        <f t="shared" si="9"/>
        <v>10.933333333333332</v>
      </c>
    </row>
    <row r="70" spans="1:19" x14ac:dyDescent="0.2">
      <c r="A70" s="1">
        <v>1965</v>
      </c>
      <c r="B70" s="1">
        <v>1</v>
      </c>
      <c r="C70" s="1">
        <v>-3.8</v>
      </c>
      <c r="D70" s="1">
        <v>6.7</v>
      </c>
      <c r="E70" s="1">
        <v>9.1</v>
      </c>
      <c r="F70" s="1">
        <v>13.4</v>
      </c>
      <c r="G70" s="1">
        <v>18.3</v>
      </c>
      <c r="H70" s="1">
        <v>20.6</v>
      </c>
      <c r="I70" s="1">
        <v>18.100000000000001</v>
      </c>
      <c r="J70" s="1">
        <v>16.8</v>
      </c>
      <c r="K70" s="1">
        <v>9.6</v>
      </c>
      <c r="L70" s="1">
        <v>5.9</v>
      </c>
      <c r="M70" s="1">
        <v>3.6</v>
      </c>
      <c r="N70" s="1">
        <v>9.9</v>
      </c>
      <c r="P70" s="4">
        <f t="shared" si="6"/>
        <v>2.7666666666666671</v>
      </c>
      <c r="Q70" s="4">
        <f t="shared" si="7"/>
        <v>9.7333333333333343</v>
      </c>
      <c r="R70" s="4">
        <f t="shared" si="8"/>
        <v>19.000000000000004</v>
      </c>
      <c r="S70" s="4">
        <f t="shared" si="9"/>
        <v>10.766666666666666</v>
      </c>
    </row>
    <row r="71" spans="1:19" x14ac:dyDescent="0.2">
      <c r="A71" s="1">
        <v>1966</v>
      </c>
      <c r="B71" s="1">
        <v>-3.4</v>
      </c>
      <c r="C71" s="1">
        <v>8.1</v>
      </c>
      <c r="D71" s="1">
        <v>4.0999999999999996</v>
      </c>
      <c r="E71" s="1">
        <v>12.1</v>
      </c>
      <c r="F71" s="1">
        <v>14.6</v>
      </c>
      <c r="G71" s="1">
        <v>18.100000000000001</v>
      </c>
      <c r="H71" s="1">
        <v>18.899999999999999</v>
      </c>
      <c r="I71" s="1">
        <v>18.600000000000001</v>
      </c>
      <c r="J71" s="1">
        <v>15.6</v>
      </c>
      <c r="K71" s="1">
        <v>15</v>
      </c>
      <c r="L71" s="1">
        <v>5.8</v>
      </c>
      <c r="M71" s="1">
        <v>1.9</v>
      </c>
      <c r="N71" s="1">
        <v>10.8</v>
      </c>
      <c r="P71" s="4">
        <f t="shared" si="6"/>
        <v>0.3</v>
      </c>
      <c r="Q71" s="4">
        <f t="shared" si="7"/>
        <v>10.266666666666666</v>
      </c>
      <c r="R71" s="4">
        <f t="shared" si="8"/>
        <v>18.533333333333335</v>
      </c>
      <c r="S71" s="4">
        <f t="shared" si="9"/>
        <v>12.133333333333333</v>
      </c>
    </row>
    <row r="72" spans="1:19" x14ac:dyDescent="0.2">
      <c r="A72" s="1">
        <v>1967</v>
      </c>
      <c r="B72" s="1">
        <v>-3.2</v>
      </c>
      <c r="C72" s="1">
        <v>2.2000000000000002</v>
      </c>
      <c r="D72" s="1">
        <v>6.6</v>
      </c>
      <c r="E72" s="1">
        <v>9.8000000000000007</v>
      </c>
      <c r="F72" s="1">
        <v>15.2</v>
      </c>
      <c r="G72" s="1">
        <v>17.2</v>
      </c>
      <c r="H72" s="1">
        <v>20.5</v>
      </c>
      <c r="I72" s="1">
        <v>20</v>
      </c>
      <c r="J72" s="1">
        <v>17.2</v>
      </c>
      <c r="K72" s="1">
        <v>12.4</v>
      </c>
      <c r="L72" s="1">
        <v>6.5</v>
      </c>
      <c r="M72" s="1">
        <v>-0.8</v>
      </c>
      <c r="N72" s="1">
        <v>10.3</v>
      </c>
      <c r="P72" s="4">
        <f t="shared" si="6"/>
        <v>6.6666666666666721E-2</v>
      </c>
      <c r="Q72" s="4">
        <f t="shared" si="7"/>
        <v>10.533333333333333</v>
      </c>
      <c r="R72" s="4">
        <f t="shared" si="8"/>
        <v>19.233333333333334</v>
      </c>
      <c r="S72" s="4">
        <f t="shared" si="9"/>
        <v>12.033333333333333</v>
      </c>
    </row>
    <row r="73" spans="1:19" x14ac:dyDescent="0.2">
      <c r="A73" s="1">
        <v>1968</v>
      </c>
      <c r="B73" s="1">
        <v>-2.5</v>
      </c>
      <c r="C73" s="1">
        <v>3.5</v>
      </c>
      <c r="D73" s="1">
        <v>6.3</v>
      </c>
      <c r="E73" s="1">
        <v>13.3</v>
      </c>
      <c r="F73" s="1">
        <v>16.899999999999999</v>
      </c>
      <c r="G73" s="1">
        <v>18.3</v>
      </c>
      <c r="H73" s="1">
        <v>19.399999999999999</v>
      </c>
      <c r="I73" s="1">
        <v>17.3</v>
      </c>
      <c r="J73" s="1">
        <v>15</v>
      </c>
      <c r="K73" s="1">
        <v>10.6</v>
      </c>
      <c r="L73" s="1">
        <v>7</v>
      </c>
      <c r="M73" s="1">
        <v>-1.1000000000000001</v>
      </c>
      <c r="N73" s="1">
        <v>10.3</v>
      </c>
      <c r="P73" s="4">
        <f t="shared" si="6"/>
        <v>-0.23333333333333331</v>
      </c>
      <c r="Q73" s="4">
        <f t="shared" si="7"/>
        <v>12.166666666666666</v>
      </c>
      <c r="R73" s="4">
        <f t="shared" si="8"/>
        <v>18.333333333333332</v>
      </c>
      <c r="S73" s="4">
        <f t="shared" si="9"/>
        <v>10.866666666666667</v>
      </c>
    </row>
    <row r="74" spans="1:19" x14ac:dyDescent="0.2">
      <c r="A74" s="1">
        <v>1969</v>
      </c>
      <c r="B74" s="1">
        <v>-1.4</v>
      </c>
      <c r="C74" s="1">
        <v>1.8</v>
      </c>
      <c r="D74" s="1">
        <v>4.3</v>
      </c>
      <c r="E74" s="1">
        <v>9.5</v>
      </c>
      <c r="F74" s="1">
        <v>17.600000000000001</v>
      </c>
      <c r="G74" s="1">
        <v>16.8</v>
      </c>
      <c r="H74" s="1">
        <v>18.7</v>
      </c>
      <c r="I74" s="1">
        <v>18.3</v>
      </c>
      <c r="J74" s="1">
        <v>16.2</v>
      </c>
      <c r="K74" s="1">
        <v>9.4</v>
      </c>
      <c r="L74" s="1">
        <v>9</v>
      </c>
      <c r="M74" s="1">
        <v>-2.8</v>
      </c>
      <c r="N74" s="1">
        <v>9.8000000000000007</v>
      </c>
      <c r="P74" s="4">
        <f t="shared" si="6"/>
        <v>-0.49999999999999994</v>
      </c>
      <c r="Q74" s="4">
        <f t="shared" si="7"/>
        <v>10.466666666666667</v>
      </c>
      <c r="R74" s="4">
        <f t="shared" si="8"/>
        <v>17.933333333333334</v>
      </c>
      <c r="S74" s="4">
        <f t="shared" si="9"/>
        <v>11.533333333333333</v>
      </c>
    </row>
    <row r="75" spans="1:19" x14ac:dyDescent="0.2">
      <c r="A75" s="1">
        <v>1970</v>
      </c>
      <c r="B75" s="1">
        <v>0.1</v>
      </c>
      <c r="C75" s="1">
        <v>1.2</v>
      </c>
      <c r="D75" s="1">
        <v>5.4</v>
      </c>
      <c r="E75" s="1">
        <v>10.5</v>
      </c>
      <c r="F75" s="1">
        <v>12.4</v>
      </c>
      <c r="G75" s="1">
        <v>18.5</v>
      </c>
      <c r="H75" s="1">
        <v>18.7</v>
      </c>
      <c r="I75" s="1">
        <v>19.3</v>
      </c>
      <c r="J75" s="1">
        <v>14.7</v>
      </c>
      <c r="K75" s="1">
        <v>9.3000000000000007</v>
      </c>
      <c r="L75" s="1">
        <v>7.5</v>
      </c>
      <c r="M75" s="1">
        <v>0.6</v>
      </c>
      <c r="N75" s="1">
        <v>9.8000000000000007</v>
      </c>
      <c r="P75" s="4">
        <f t="shared" si="6"/>
        <v>1.0999999999999999</v>
      </c>
      <c r="Q75" s="4">
        <f t="shared" si="7"/>
        <v>9.4333333333333336</v>
      </c>
      <c r="R75" s="4">
        <f t="shared" si="8"/>
        <v>18.833333333333332</v>
      </c>
      <c r="S75" s="4">
        <f t="shared" si="9"/>
        <v>10.5</v>
      </c>
    </row>
    <row r="76" spans="1:19" x14ac:dyDescent="0.2">
      <c r="A76" s="1">
        <v>1971</v>
      </c>
      <c r="B76" s="1">
        <v>0.4</v>
      </c>
      <c r="C76" s="1">
        <v>2.2999999999999998</v>
      </c>
      <c r="D76" s="1">
        <v>2.7</v>
      </c>
      <c r="E76" s="1">
        <v>12</v>
      </c>
      <c r="F76" s="1">
        <v>16.8</v>
      </c>
      <c r="G76" s="1">
        <v>18.100000000000001</v>
      </c>
      <c r="H76" s="1">
        <v>19.8</v>
      </c>
      <c r="I76" s="1">
        <v>21.7</v>
      </c>
      <c r="J76" s="1">
        <v>12.6</v>
      </c>
      <c r="K76" s="1">
        <v>8.4</v>
      </c>
      <c r="L76" s="1">
        <v>5.3</v>
      </c>
      <c r="M76" s="1">
        <v>1.4</v>
      </c>
      <c r="N76" s="1">
        <v>10.1</v>
      </c>
      <c r="P76" s="4">
        <f t="shared" si="6"/>
        <v>1.9666666666666668</v>
      </c>
      <c r="Q76" s="4">
        <f t="shared" si="7"/>
        <v>10.5</v>
      </c>
      <c r="R76" s="4">
        <f t="shared" si="8"/>
        <v>19.866666666666671</v>
      </c>
      <c r="S76" s="4">
        <f t="shared" si="9"/>
        <v>8.7666666666666675</v>
      </c>
    </row>
    <row r="77" spans="1:19" x14ac:dyDescent="0.2">
      <c r="A77" s="1">
        <v>1972</v>
      </c>
      <c r="B77" s="1">
        <v>-0.2</v>
      </c>
      <c r="C77" s="1">
        <v>4.7</v>
      </c>
      <c r="D77" s="1">
        <v>8.5</v>
      </c>
      <c r="E77" s="1">
        <v>11.2</v>
      </c>
      <c r="F77" s="1">
        <v>15</v>
      </c>
      <c r="G77" s="1">
        <v>19.3</v>
      </c>
      <c r="H77" s="1">
        <v>19.399999999999999</v>
      </c>
      <c r="I77" s="1">
        <v>17.5</v>
      </c>
      <c r="J77" s="1">
        <v>12.6</v>
      </c>
      <c r="K77" s="1">
        <v>7.9</v>
      </c>
      <c r="L77" s="1">
        <v>5.9</v>
      </c>
      <c r="M77" s="1">
        <v>0.6</v>
      </c>
      <c r="N77" s="1">
        <v>10.199999999999999</v>
      </c>
      <c r="P77" s="4">
        <f t="shared" si="6"/>
        <v>0.89999999999999991</v>
      </c>
      <c r="Q77" s="4">
        <f t="shared" si="7"/>
        <v>11.566666666666668</v>
      </c>
      <c r="R77" s="4">
        <f t="shared" si="8"/>
        <v>18.733333333333334</v>
      </c>
      <c r="S77" s="4">
        <f t="shared" si="9"/>
        <v>8.7999999999999989</v>
      </c>
    </row>
    <row r="78" spans="1:19" x14ac:dyDescent="0.2">
      <c r="A78" s="1">
        <v>1973</v>
      </c>
      <c r="B78" s="1">
        <v>-0.2</v>
      </c>
      <c r="C78" s="1">
        <v>2.2999999999999998</v>
      </c>
      <c r="D78" s="1">
        <v>3.9</v>
      </c>
      <c r="E78" s="1">
        <v>8.4</v>
      </c>
      <c r="F78" s="1">
        <v>16.2</v>
      </c>
      <c r="G78" s="1">
        <v>18.399999999999999</v>
      </c>
      <c r="H78" s="1">
        <v>19.600000000000001</v>
      </c>
      <c r="I78" s="1">
        <v>18.600000000000001</v>
      </c>
      <c r="J78" s="1">
        <v>16.2</v>
      </c>
      <c r="K78" s="1">
        <v>9.4</v>
      </c>
      <c r="L78" s="1">
        <v>2.9</v>
      </c>
      <c r="M78" s="1">
        <v>0.2</v>
      </c>
      <c r="N78" s="1">
        <v>9.6999999999999993</v>
      </c>
      <c r="P78" s="4">
        <f t="shared" si="6"/>
        <v>2.5</v>
      </c>
      <c r="Q78" s="4">
        <f t="shared" si="7"/>
        <v>9.5</v>
      </c>
      <c r="R78" s="4">
        <f t="shared" si="8"/>
        <v>18.866666666666667</v>
      </c>
      <c r="S78" s="4">
        <f t="shared" si="9"/>
        <v>9.5</v>
      </c>
    </row>
    <row r="79" spans="1:19" x14ac:dyDescent="0.2">
      <c r="A79" s="1">
        <v>1974</v>
      </c>
      <c r="B79" s="1">
        <v>1.7</v>
      </c>
      <c r="C79" s="1">
        <v>5.6</v>
      </c>
      <c r="D79" s="1">
        <v>7.8</v>
      </c>
      <c r="E79" s="1">
        <v>9</v>
      </c>
      <c r="F79" s="1">
        <v>13.2</v>
      </c>
      <c r="G79" s="1">
        <v>16.899999999999999</v>
      </c>
      <c r="H79" s="1">
        <v>18.600000000000001</v>
      </c>
      <c r="I79" s="1">
        <v>19.899999999999999</v>
      </c>
      <c r="J79" s="1">
        <v>16.2</v>
      </c>
      <c r="K79" s="1">
        <v>7.4</v>
      </c>
      <c r="L79" s="1">
        <v>5.4</v>
      </c>
      <c r="M79" s="1">
        <v>2.4</v>
      </c>
      <c r="N79" s="1">
        <v>10.3</v>
      </c>
      <c r="P79" s="4">
        <f t="shared" si="6"/>
        <v>1.6333333333333335</v>
      </c>
      <c r="Q79" s="4">
        <f t="shared" si="7"/>
        <v>10</v>
      </c>
      <c r="R79" s="4">
        <f t="shared" si="8"/>
        <v>18.466666666666665</v>
      </c>
      <c r="S79" s="4">
        <f t="shared" si="9"/>
        <v>9.6666666666666661</v>
      </c>
    </row>
    <row r="80" spans="1:19" x14ac:dyDescent="0.2">
      <c r="A80" s="1">
        <v>1975</v>
      </c>
      <c r="B80" s="1">
        <v>1.6</v>
      </c>
      <c r="C80" s="1">
        <v>0.9</v>
      </c>
      <c r="D80" s="1">
        <v>8.5</v>
      </c>
      <c r="E80" s="1">
        <v>10.3</v>
      </c>
      <c r="F80" s="1">
        <v>15.7</v>
      </c>
      <c r="G80" s="1">
        <v>17.399999999999999</v>
      </c>
      <c r="H80" s="1">
        <v>19</v>
      </c>
      <c r="I80" s="1">
        <v>17.8</v>
      </c>
      <c r="J80" s="1">
        <v>17.5</v>
      </c>
      <c r="K80" s="1">
        <v>10.3</v>
      </c>
      <c r="L80" s="1">
        <v>4.5</v>
      </c>
      <c r="M80" s="1">
        <v>1.5</v>
      </c>
      <c r="N80" s="1">
        <v>10.4</v>
      </c>
      <c r="P80" s="4">
        <f t="shared" si="6"/>
        <v>0.53333333333333333</v>
      </c>
      <c r="Q80" s="4">
        <f t="shared" si="7"/>
        <v>11.5</v>
      </c>
      <c r="R80" s="4">
        <f t="shared" si="8"/>
        <v>18.066666666666666</v>
      </c>
      <c r="S80" s="4">
        <f t="shared" si="9"/>
        <v>10.766666666666666</v>
      </c>
    </row>
    <row r="81" spans="1:19" x14ac:dyDescent="0.2">
      <c r="A81" s="1">
        <v>1976</v>
      </c>
      <c r="B81" s="1">
        <v>0.2</v>
      </c>
      <c r="C81" s="1">
        <v>-0.1</v>
      </c>
      <c r="D81" s="1">
        <v>2</v>
      </c>
      <c r="E81" s="1">
        <v>9.9</v>
      </c>
      <c r="F81" s="1">
        <v>13.9</v>
      </c>
      <c r="G81" s="1">
        <v>16.100000000000001</v>
      </c>
      <c r="H81" s="1">
        <v>19.3</v>
      </c>
      <c r="I81" s="1">
        <v>15.8</v>
      </c>
      <c r="J81" s="1">
        <v>13.8</v>
      </c>
      <c r="K81" s="1">
        <v>12</v>
      </c>
      <c r="L81" s="1">
        <v>6.5</v>
      </c>
      <c r="M81" s="1">
        <v>2.1</v>
      </c>
      <c r="N81" s="1">
        <v>9.3000000000000007</v>
      </c>
      <c r="P81" s="4">
        <f t="shared" si="6"/>
        <v>3.9</v>
      </c>
      <c r="Q81" s="4">
        <f t="shared" si="7"/>
        <v>8.6</v>
      </c>
      <c r="R81" s="4">
        <f t="shared" si="8"/>
        <v>17.066666666666666</v>
      </c>
      <c r="S81" s="4">
        <f t="shared" si="9"/>
        <v>10.766666666666666</v>
      </c>
    </row>
    <row r="82" spans="1:19" x14ac:dyDescent="0.2">
      <c r="A82" s="1">
        <v>1977</v>
      </c>
      <c r="B82" s="1">
        <v>3.3</v>
      </c>
      <c r="C82" s="1">
        <v>6.3</v>
      </c>
      <c r="D82" s="1">
        <v>8.9</v>
      </c>
      <c r="E82" s="1">
        <v>9</v>
      </c>
      <c r="F82" s="1">
        <v>15.3</v>
      </c>
      <c r="G82" s="1">
        <v>17.600000000000001</v>
      </c>
      <c r="H82" s="1">
        <v>19.100000000000001</v>
      </c>
      <c r="I82" s="1">
        <v>18.3</v>
      </c>
      <c r="J82" s="1">
        <v>12.5</v>
      </c>
      <c r="K82" s="1">
        <v>11</v>
      </c>
      <c r="L82" s="1">
        <v>6.1</v>
      </c>
      <c r="M82" s="1">
        <v>-1.7</v>
      </c>
      <c r="N82" s="1">
        <v>10.5</v>
      </c>
      <c r="P82" s="4">
        <f t="shared" si="6"/>
        <v>0.10000000000000009</v>
      </c>
      <c r="Q82" s="4">
        <f t="shared" si="7"/>
        <v>11.066666666666668</v>
      </c>
      <c r="R82" s="4">
        <f t="shared" si="8"/>
        <v>18.333333333333332</v>
      </c>
      <c r="S82" s="4">
        <f t="shared" si="9"/>
        <v>9.8666666666666671</v>
      </c>
    </row>
    <row r="83" spans="1:19" x14ac:dyDescent="0.2">
      <c r="A83" s="1">
        <v>1978</v>
      </c>
      <c r="B83" s="1">
        <v>0.4</v>
      </c>
      <c r="C83" s="1">
        <v>1.6</v>
      </c>
      <c r="D83" s="1">
        <v>6.7</v>
      </c>
      <c r="E83" s="1">
        <v>9.3000000000000007</v>
      </c>
      <c r="F83" s="1">
        <v>12.6</v>
      </c>
      <c r="G83" s="1">
        <v>16.899999999999999</v>
      </c>
      <c r="H83" s="1">
        <v>18</v>
      </c>
      <c r="I83" s="1">
        <v>17.7</v>
      </c>
      <c r="J83" s="1">
        <v>13.3</v>
      </c>
      <c r="K83" s="1">
        <v>9.5</v>
      </c>
      <c r="L83" s="1">
        <v>1.9</v>
      </c>
      <c r="M83" s="1">
        <v>2.2000000000000002</v>
      </c>
      <c r="N83" s="1">
        <v>9.1999999999999993</v>
      </c>
      <c r="P83" s="4">
        <f t="shared" si="6"/>
        <v>1.4000000000000001</v>
      </c>
      <c r="Q83" s="4">
        <f t="shared" si="7"/>
        <v>9.5333333333333332</v>
      </c>
      <c r="R83" s="4">
        <f t="shared" si="8"/>
        <v>17.533333333333331</v>
      </c>
      <c r="S83" s="4">
        <f t="shared" si="9"/>
        <v>8.2333333333333325</v>
      </c>
    </row>
    <row r="84" spans="1:19" x14ac:dyDescent="0.2">
      <c r="A84" s="1">
        <v>1979</v>
      </c>
      <c r="B84" s="1">
        <v>-1</v>
      </c>
      <c r="C84" s="1">
        <v>3</v>
      </c>
      <c r="D84" s="1">
        <v>8.5</v>
      </c>
      <c r="E84" s="1">
        <v>8.9</v>
      </c>
      <c r="F84" s="1">
        <v>14.9</v>
      </c>
      <c r="G84" s="1">
        <v>19.5</v>
      </c>
      <c r="H84" s="1">
        <v>17.899999999999999</v>
      </c>
      <c r="I84" s="1">
        <v>18</v>
      </c>
      <c r="J84" s="1">
        <v>15</v>
      </c>
      <c r="K84" s="1">
        <v>9.1999999999999993</v>
      </c>
      <c r="L84" s="1">
        <v>6.1</v>
      </c>
      <c r="M84" s="1">
        <v>4.9000000000000004</v>
      </c>
      <c r="N84" s="1">
        <v>10.4</v>
      </c>
      <c r="P84" s="4">
        <f t="shared" si="6"/>
        <v>1.6666666666666667</v>
      </c>
      <c r="Q84" s="4">
        <f t="shared" si="7"/>
        <v>10.766666666666666</v>
      </c>
      <c r="R84" s="4">
        <f t="shared" si="8"/>
        <v>18.466666666666665</v>
      </c>
      <c r="S84" s="4">
        <f t="shared" si="9"/>
        <v>10.1</v>
      </c>
    </row>
    <row r="85" spans="1:19" x14ac:dyDescent="0.2">
      <c r="A85" s="1">
        <v>1980</v>
      </c>
      <c r="B85" s="1">
        <v>-2.2000000000000002</v>
      </c>
      <c r="C85" s="1">
        <v>2.2999999999999998</v>
      </c>
      <c r="D85" s="1">
        <v>5.7</v>
      </c>
      <c r="E85" s="1">
        <v>7</v>
      </c>
      <c r="F85" s="1">
        <v>11.9</v>
      </c>
      <c r="G85" s="1">
        <v>17.3</v>
      </c>
      <c r="H85" s="1">
        <v>18.7</v>
      </c>
      <c r="I85" s="1">
        <v>18.7</v>
      </c>
      <c r="J85" s="1">
        <v>14.7</v>
      </c>
      <c r="K85" s="1">
        <v>11.1</v>
      </c>
      <c r="L85" s="1">
        <v>4.5</v>
      </c>
      <c r="M85" s="1">
        <v>-1.1000000000000001</v>
      </c>
      <c r="N85" s="1">
        <v>9</v>
      </c>
      <c r="P85" s="4">
        <f t="shared" si="6"/>
        <v>-1.2</v>
      </c>
      <c r="Q85" s="4">
        <f t="shared" si="7"/>
        <v>8.2000000000000011</v>
      </c>
      <c r="R85" s="4">
        <f t="shared" si="8"/>
        <v>18.233333333333334</v>
      </c>
      <c r="S85" s="4">
        <f t="shared" si="9"/>
        <v>10.1</v>
      </c>
    </row>
    <row r="86" spans="1:19" x14ac:dyDescent="0.2">
      <c r="A86" s="1">
        <v>1981</v>
      </c>
      <c r="B86" s="1">
        <v>-2.9</v>
      </c>
      <c r="C86" s="1">
        <v>0.4</v>
      </c>
      <c r="D86" s="1">
        <v>8.4</v>
      </c>
      <c r="E86" s="1">
        <v>9.6</v>
      </c>
      <c r="F86" s="1">
        <v>14.7</v>
      </c>
      <c r="G86" s="1">
        <v>18.5</v>
      </c>
      <c r="H86" s="1">
        <v>18.600000000000001</v>
      </c>
      <c r="I86" s="1">
        <v>18.600000000000001</v>
      </c>
      <c r="J86" s="1">
        <v>16.100000000000001</v>
      </c>
      <c r="K86" s="1">
        <v>12.4</v>
      </c>
      <c r="L86" s="1">
        <v>3.4</v>
      </c>
      <c r="M86" s="1">
        <v>2.2000000000000002</v>
      </c>
      <c r="N86" s="1">
        <v>10</v>
      </c>
      <c r="P86" s="4">
        <f t="shared" si="6"/>
        <v>0</v>
      </c>
      <c r="Q86" s="4">
        <f t="shared" si="7"/>
        <v>10.9</v>
      </c>
      <c r="R86" s="4">
        <f t="shared" si="8"/>
        <v>18.566666666666666</v>
      </c>
      <c r="S86" s="4">
        <f t="shared" si="9"/>
        <v>10.633333333333333</v>
      </c>
    </row>
    <row r="87" spans="1:19" x14ac:dyDescent="0.2">
      <c r="A87" s="1">
        <v>1982</v>
      </c>
      <c r="B87" s="1">
        <v>-1.6</v>
      </c>
      <c r="C87" s="1">
        <v>-0.6</v>
      </c>
      <c r="D87" s="1">
        <v>4.9000000000000004</v>
      </c>
      <c r="E87" s="1">
        <v>7</v>
      </c>
      <c r="F87" s="1">
        <v>15.9</v>
      </c>
      <c r="G87" s="1">
        <v>19.3</v>
      </c>
      <c r="H87" s="1">
        <v>19.600000000000001</v>
      </c>
      <c r="I87" s="1">
        <v>18.899999999999999</v>
      </c>
      <c r="J87" s="1">
        <v>18.2</v>
      </c>
      <c r="K87" s="1">
        <v>12.4</v>
      </c>
      <c r="L87" s="1">
        <v>5.6</v>
      </c>
      <c r="M87" s="1">
        <v>3.9</v>
      </c>
      <c r="N87" s="1">
        <v>10.3</v>
      </c>
      <c r="P87" s="4">
        <f t="shared" si="6"/>
        <v>2.1</v>
      </c>
      <c r="Q87" s="4">
        <f t="shared" si="7"/>
        <v>9.2666666666666675</v>
      </c>
      <c r="R87" s="4">
        <f t="shared" si="8"/>
        <v>19.266666666666669</v>
      </c>
      <c r="S87" s="4">
        <f t="shared" si="9"/>
        <v>12.066666666666668</v>
      </c>
    </row>
    <row r="88" spans="1:19" x14ac:dyDescent="0.2">
      <c r="A88" s="1">
        <v>1983</v>
      </c>
      <c r="B88" s="1">
        <v>2.6</v>
      </c>
      <c r="C88" s="1">
        <v>-0.2</v>
      </c>
      <c r="D88" s="1">
        <v>7.1</v>
      </c>
      <c r="E88" s="1">
        <v>13.1</v>
      </c>
      <c r="F88" s="1">
        <v>17.100000000000001</v>
      </c>
      <c r="G88" s="1">
        <v>17</v>
      </c>
      <c r="H88" s="1">
        <v>20.399999999999999</v>
      </c>
      <c r="I88" s="1">
        <v>19.100000000000001</v>
      </c>
      <c r="J88" s="1">
        <v>14.9</v>
      </c>
      <c r="K88" s="1">
        <v>9.6999999999999993</v>
      </c>
      <c r="L88" s="1">
        <v>2.7</v>
      </c>
      <c r="M88" s="1">
        <v>0.9</v>
      </c>
      <c r="N88" s="1">
        <v>10.4</v>
      </c>
      <c r="P88" s="4">
        <f t="shared" si="6"/>
        <v>0.73333333333333339</v>
      </c>
      <c r="Q88" s="4">
        <f t="shared" si="7"/>
        <v>12.433333333333332</v>
      </c>
      <c r="R88" s="4">
        <f t="shared" si="8"/>
        <v>18.833333333333332</v>
      </c>
      <c r="S88" s="4">
        <f t="shared" si="9"/>
        <v>9.1</v>
      </c>
    </row>
    <row r="89" spans="1:19" x14ac:dyDescent="0.2">
      <c r="A89" s="1">
        <v>1984</v>
      </c>
      <c r="B89" s="1">
        <v>0.8</v>
      </c>
      <c r="C89" s="1">
        <v>0.5</v>
      </c>
      <c r="D89" s="1">
        <v>3.9</v>
      </c>
      <c r="E89" s="1">
        <v>9.5</v>
      </c>
      <c r="F89" s="1">
        <v>14.7</v>
      </c>
      <c r="G89" s="1">
        <v>16.600000000000001</v>
      </c>
      <c r="H89" s="1">
        <v>17.899999999999999</v>
      </c>
      <c r="I89" s="1">
        <v>17.7</v>
      </c>
      <c r="J89" s="1">
        <v>15.9</v>
      </c>
      <c r="K89" s="1">
        <v>12.1</v>
      </c>
      <c r="L89" s="1">
        <v>5.6</v>
      </c>
      <c r="M89" s="1">
        <v>0.6</v>
      </c>
      <c r="N89" s="1">
        <v>9.6</v>
      </c>
      <c r="P89" s="4">
        <f t="shared" si="6"/>
        <v>-2.6999999999999997</v>
      </c>
      <c r="Q89" s="4">
        <f t="shared" si="7"/>
        <v>9.3666666666666671</v>
      </c>
      <c r="R89" s="4">
        <f t="shared" si="8"/>
        <v>17.400000000000002</v>
      </c>
      <c r="S89" s="4">
        <f t="shared" si="9"/>
        <v>11.200000000000001</v>
      </c>
    </row>
    <row r="90" spans="1:19" x14ac:dyDescent="0.2">
      <c r="A90" s="1">
        <v>1985</v>
      </c>
      <c r="B90" s="1">
        <v>-5.0999999999999996</v>
      </c>
      <c r="C90" s="1">
        <v>-3.6</v>
      </c>
      <c r="D90" s="1">
        <v>5.4</v>
      </c>
      <c r="E90" s="1">
        <v>10.5</v>
      </c>
      <c r="F90" s="1">
        <v>16.5</v>
      </c>
      <c r="G90" s="1">
        <v>15.8</v>
      </c>
      <c r="H90" s="1">
        <v>20</v>
      </c>
      <c r="I90" s="1">
        <v>20.5</v>
      </c>
      <c r="J90" s="1">
        <v>15</v>
      </c>
      <c r="K90" s="1">
        <v>9.4</v>
      </c>
      <c r="L90" s="1">
        <v>4.0999999999999996</v>
      </c>
      <c r="M90" s="1">
        <v>4.3</v>
      </c>
      <c r="N90" s="1">
        <v>9.4</v>
      </c>
      <c r="P90" s="4">
        <f t="shared" si="6"/>
        <v>0.83333333333333315</v>
      </c>
      <c r="Q90" s="4">
        <f t="shared" si="7"/>
        <v>10.799999999999999</v>
      </c>
      <c r="R90" s="4">
        <f t="shared" si="8"/>
        <v>18.766666666666666</v>
      </c>
      <c r="S90" s="4">
        <f t="shared" si="9"/>
        <v>9.5</v>
      </c>
    </row>
    <row r="91" spans="1:19" x14ac:dyDescent="0.2">
      <c r="A91" s="1">
        <v>1986</v>
      </c>
      <c r="B91" s="1">
        <v>0.8</v>
      </c>
      <c r="C91" s="1">
        <v>-2.6</v>
      </c>
      <c r="D91" s="1">
        <v>4.4000000000000004</v>
      </c>
      <c r="E91" s="1">
        <v>12.4</v>
      </c>
      <c r="F91" s="1">
        <v>16.5</v>
      </c>
      <c r="G91" s="1">
        <v>17.100000000000001</v>
      </c>
      <c r="H91" s="1">
        <v>17.899999999999999</v>
      </c>
      <c r="I91" s="1">
        <v>19.899999999999999</v>
      </c>
      <c r="J91" s="1">
        <v>14.5</v>
      </c>
      <c r="K91" s="1">
        <v>9.6999999999999993</v>
      </c>
      <c r="L91" s="1">
        <v>5.2</v>
      </c>
      <c r="M91" s="1">
        <v>-0.7</v>
      </c>
      <c r="N91" s="1">
        <v>9.6</v>
      </c>
      <c r="P91" s="4">
        <f t="shared" si="6"/>
        <v>-1.0000000000000002</v>
      </c>
      <c r="Q91" s="4">
        <f t="shared" si="7"/>
        <v>11.1</v>
      </c>
      <c r="R91" s="4">
        <f t="shared" si="8"/>
        <v>18.3</v>
      </c>
      <c r="S91" s="4">
        <f t="shared" si="9"/>
        <v>9.7999999999999989</v>
      </c>
    </row>
    <row r="92" spans="1:19" x14ac:dyDescent="0.2">
      <c r="A92" s="1">
        <v>1987</v>
      </c>
      <c r="B92" s="1">
        <v>-4.2</v>
      </c>
      <c r="C92" s="1">
        <v>1.9</v>
      </c>
      <c r="D92" s="1">
        <v>-0.1</v>
      </c>
      <c r="E92" s="1">
        <v>10</v>
      </c>
      <c r="F92" s="1">
        <v>13.1</v>
      </c>
      <c r="G92" s="1">
        <v>18.3</v>
      </c>
      <c r="H92" s="1">
        <v>21.7</v>
      </c>
      <c r="I92" s="1">
        <v>18.399999999999999</v>
      </c>
      <c r="J92" s="1">
        <v>18.399999999999999</v>
      </c>
      <c r="K92" s="1">
        <v>11.7</v>
      </c>
      <c r="L92" s="1">
        <v>6.2</v>
      </c>
      <c r="M92" s="1">
        <v>1.7</v>
      </c>
      <c r="N92" s="1">
        <v>9.8000000000000007</v>
      </c>
      <c r="P92" s="4">
        <f t="shared" si="6"/>
        <v>2.6999999999999997</v>
      </c>
      <c r="Q92" s="4">
        <f t="shared" si="7"/>
        <v>7.666666666666667</v>
      </c>
      <c r="R92" s="4">
        <f t="shared" si="8"/>
        <v>19.466666666666665</v>
      </c>
      <c r="S92" s="4">
        <f t="shared" si="9"/>
        <v>12.1</v>
      </c>
    </row>
    <row r="93" spans="1:19" x14ac:dyDescent="0.2">
      <c r="A93" s="1">
        <v>1988</v>
      </c>
      <c r="B93" s="1">
        <v>3.1</v>
      </c>
      <c r="C93" s="1">
        <v>3.3</v>
      </c>
      <c r="D93" s="1">
        <v>4.2</v>
      </c>
      <c r="E93" s="1">
        <v>9.8000000000000007</v>
      </c>
      <c r="F93" s="1">
        <v>15.4</v>
      </c>
      <c r="G93" s="1">
        <v>17.399999999999999</v>
      </c>
      <c r="H93" s="1">
        <v>21.8</v>
      </c>
      <c r="I93" s="1">
        <v>20.9</v>
      </c>
      <c r="J93" s="1">
        <v>15.6</v>
      </c>
      <c r="K93" s="1">
        <v>10.3</v>
      </c>
      <c r="L93" s="1">
        <v>0</v>
      </c>
      <c r="M93" s="1">
        <v>0.9</v>
      </c>
      <c r="N93" s="1">
        <v>10.199999999999999</v>
      </c>
      <c r="P93" s="4">
        <f t="shared" si="6"/>
        <v>1.5999999999999999</v>
      </c>
      <c r="Q93" s="4">
        <f t="shared" si="7"/>
        <v>9.7999999999999989</v>
      </c>
      <c r="R93" s="4">
        <f t="shared" si="8"/>
        <v>20.033333333333335</v>
      </c>
      <c r="S93" s="4">
        <f t="shared" si="9"/>
        <v>8.6333333333333329</v>
      </c>
    </row>
    <row r="94" spans="1:19" x14ac:dyDescent="0.2">
      <c r="A94" s="1">
        <v>1989</v>
      </c>
      <c r="B94" s="1">
        <v>-0.2</v>
      </c>
      <c r="C94" s="1">
        <v>4.0999999999999996</v>
      </c>
      <c r="D94" s="1">
        <v>8.5</v>
      </c>
      <c r="E94" s="1">
        <v>13.1</v>
      </c>
      <c r="F94" s="1">
        <v>13.2</v>
      </c>
      <c r="G94" s="1">
        <v>15.8</v>
      </c>
      <c r="H94" s="1">
        <v>19.5</v>
      </c>
      <c r="I94" s="1">
        <v>18.8</v>
      </c>
      <c r="J94" s="1">
        <v>14.8</v>
      </c>
      <c r="K94" s="1">
        <v>10</v>
      </c>
      <c r="L94" s="1">
        <v>4.5</v>
      </c>
      <c r="M94" s="1">
        <v>2.2000000000000002</v>
      </c>
      <c r="N94" s="1">
        <v>10.4</v>
      </c>
      <c r="P94" s="4">
        <f t="shared" si="6"/>
        <v>2.7333333333333329</v>
      </c>
      <c r="Q94" s="4">
        <f t="shared" si="7"/>
        <v>11.6</v>
      </c>
      <c r="R94" s="4">
        <f t="shared" si="8"/>
        <v>18.033333333333331</v>
      </c>
      <c r="S94" s="4">
        <f t="shared" si="9"/>
        <v>9.7666666666666675</v>
      </c>
    </row>
    <row r="95" spans="1:19" x14ac:dyDescent="0.2">
      <c r="A95" s="1">
        <v>1990</v>
      </c>
      <c r="B95" s="1">
        <v>0.2</v>
      </c>
      <c r="C95" s="1">
        <v>5.8</v>
      </c>
      <c r="D95" s="1">
        <v>8.5</v>
      </c>
      <c r="E95" s="1">
        <v>9.6999999999999993</v>
      </c>
      <c r="F95" s="1">
        <v>15.3</v>
      </c>
      <c r="G95" s="1">
        <v>17.899999999999999</v>
      </c>
      <c r="H95" s="1">
        <v>18.8</v>
      </c>
      <c r="I95" s="1">
        <v>19.100000000000001</v>
      </c>
      <c r="J95" s="1">
        <v>13.9</v>
      </c>
      <c r="K95" s="1">
        <v>11.8</v>
      </c>
      <c r="L95" s="1">
        <v>7.4</v>
      </c>
      <c r="M95" s="1">
        <v>0.6</v>
      </c>
      <c r="N95" s="1">
        <v>10.7</v>
      </c>
      <c r="P95" s="4">
        <f t="shared" si="6"/>
        <v>-0.33333333333333331</v>
      </c>
      <c r="Q95" s="4">
        <f t="shared" si="7"/>
        <v>11.166666666666666</v>
      </c>
      <c r="R95" s="4">
        <f t="shared" si="8"/>
        <v>18.600000000000001</v>
      </c>
      <c r="S95" s="4">
        <f t="shared" si="9"/>
        <v>11.033333333333333</v>
      </c>
    </row>
    <row r="96" spans="1:19" x14ac:dyDescent="0.2">
      <c r="A96" s="1">
        <v>1991</v>
      </c>
      <c r="B96" s="1">
        <v>-0.3</v>
      </c>
      <c r="C96" s="1">
        <v>-1.3</v>
      </c>
      <c r="D96" s="1">
        <v>8.6</v>
      </c>
      <c r="E96" s="1">
        <v>7.6</v>
      </c>
      <c r="F96" s="1">
        <v>11.2</v>
      </c>
      <c r="G96" s="1">
        <v>18.5</v>
      </c>
      <c r="H96" s="1">
        <v>20.100000000000001</v>
      </c>
      <c r="I96" s="1">
        <v>18.5</v>
      </c>
      <c r="J96" s="1">
        <v>16.2</v>
      </c>
      <c r="K96" s="1">
        <v>9.3000000000000007</v>
      </c>
      <c r="L96" s="1">
        <v>6.4</v>
      </c>
      <c r="M96" s="1">
        <v>-2.4</v>
      </c>
      <c r="N96" s="1">
        <v>9.4</v>
      </c>
      <c r="P96" s="4">
        <f t="shared" si="6"/>
        <v>-0.1333333333333333</v>
      </c>
      <c r="Q96" s="4">
        <f t="shared" si="7"/>
        <v>9.1333333333333329</v>
      </c>
      <c r="R96" s="4">
        <f t="shared" si="8"/>
        <v>19.033333333333335</v>
      </c>
      <c r="S96" s="4">
        <f t="shared" si="9"/>
        <v>10.633333333333333</v>
      </c>
    </row>
    <row r="97" spans="1:19" x14ac:dyDescent="0.2">
      <c r="A97" s="1">
        <v>1992</v>
      </c>
      <c r="B97" s="1">
        <v>-0.5</v>
      </c>
      <c r="C97" s="1">
        <v>2.5</v>
      </c>
      <c r="D97" s="1">
        <v>6.6</v>
      </c>
      <c r="E97" s="1">
        <v>11.2</v>
      </c>
      <c r="F97" s="1">
        <v>15.2</v>
      </c>
      <c r="G97" s="1">
        <v>18.2</v>
      </c>
      <c r="H97" s="10">
        <v>20.001960784313727</v>
      </c>
      <c r="I97" s="10">
        <v>23.384313725490198</v>
      </c>
      <c r="J97" s="10">
        <v>15.758490566037736</v>
      </c>
      <c r="K97" s="10">
        <v>11.207407407407405</v>
      </c>
      <c r="L97" s="10">
        <v>7.1735849056603769</v>
      </c>
      <c r="M97" s="10">
        <v>1.1296296296296298</v>
      </c>
      <c r="N97" s="10">
        <v>10.987948918211588</v>
      </c>
      <c r="P97" s="4">
        <f t="shared" si="6"/>
        <v>-0.15427440018634994</v>
      </c>
      <c r="Q97" s="4">
        <f t="shared" si="7"/>
        <v>11</v>
      </c>
      <c r="R97" s="4">
        <f t="shared" si="8"/>
        <v>20.528758169934644</v>
      </c>
      <c r="S97" s="4">
        <f t="shared" si="9"/>
        <v>11.379827626368504</v>
      </c>
    </row>
    <row r="98" spans="1:19" x14ac:dyDescent="0.2">
      <c r="A98" s="1">
        <v>1993</v>
      </c>
      <c r="B98" s="10">
        <v>-0.44716981132075478</v>
      </c>
      <c r="C98" s="10">
        <v>-1.1452830188679248</v>
      </c>
      <c r="D98" s="10">
        <v>4.0018867924528285</v>
      </c>
      <c r="E98" s="10">
        <v>11.118867924528306</v>
      </c>
      <c r="F98" s="10">
        <v>16.826415094339616</v>
      </c>
      <c r="G98" s="10">
        <v>18.415094339622648</v>
      </c>
      <c r="H98" s="10">
        <v>20.201960784313727</v>
      </c>
      <c r="I98" s="2">
        <v>21.3</v>
      </c>
      <c r="J98" s="2">
        <v>16.5</v>
      </c>
      <c r="K98" s="2">
        <v>12.7</v>
      </c>
      <c r="L98" s="2">
        <v>2.2999999999999998</v>
      </c>
      <c r="M98" s="2">
        <v>2.9</v>
      </c>
      <c r="N98" s="10">
        <v>10.389314342089039</v>
      </c>
      <c r="P98" s="4">
        <f t="shared" si="6"/>
        <v>3.0333333333333332</v>
      </c>
      <c r="Q98" s="4">
        <f t="shared" si="7"/>
        <v>10.649056603773584</v>
      </c>
      <c r="R98" s="4">
        <f t="shared" si="8"/>
        <v>19.972351707978792</v>
      </c>
      <c r="S98" s="4">
        <f t="shared" si="9"/>
        <v>10.5</v>
      </c>
    </row>
    <row r="99" spans="1:19" x14ac:dyDescent="0.2">
      <c r="A99" s="1">
        <v>1994</v>
      </c>
      <c r="B99" s="2">
        <v>2.4</v>
      </c>
      <c r="C99" s="2">
        <v>3.8</v>
      </c>
      <c r="D99" s="2">
        <v>8.6999999999999993</v>
      </c>
      <c r="E99" s="2">
        <v>9.6</v>
      </c>
      <c r="F99" s="2">
        <v>14.4</v>
      </c>
      <c r="G99" s="2">
        <v>16.3</v>
      </c>
      <c r="H99" s="10">
        <v>21.101960784313729</v>
      </c>
      <c r="I99" s="10">
        <v>21.384313725490198</v>
      </c>
      <c r="J99" s="10">
        <v>16.100000000000001</v>
      </c>
      <c r="K99" s="2">
        <v>8</v>
      </c>
      <c r="L99" s="2">
        <v>6</v>
      </c>
      <c r="M99" s="2">
        <v>0.9</v>
      </c>
      <c r="N99" s="10">
        <v>10.723856209150329</v>
      </c>
      <c r="P99" s="4">
        <f t="shared" si="6"/>
        <v>1.6000000000000003</v>
      </c>
      <c r="Q99" s="4">
        <f t="shared" si="7"/>
        <v>10.899999999999999</v>
      </c>
      <c r="R99" s="4">
        <f t="shared" si="8"/>
        <v>19.59542483660131</v>
      </c>
      <c r="S99" s="4">
        <f t="shared" si="9"/>
        <v>10.033333333333333</v>
      </c>
    </row>
    <row r="100" spans="1:19" x14ac:dyDescent="0.2">
      <c r="A100" s="1">
        <v>1995</v>
      </c>
      <c r="B100" s="2">
        <v>-1.5</v>
      </c>
      <c r="C100" s="2">
        <v>5.4</v>
      </c>
      <c r="D100" s="2">
        <v>4.9000000000000004</v>
      </c>
      <c r="E100" s="2">
        <v>10.4</v>
      </c>
      <c r="F100" s="2">
        <v>13</v>
      </c>
      <c r="G100" s="2">
        <v>16.8</v>
      </c>
      <c r="H100" s="2">
        <v>21.3</v>
      </c>
      <c r="I100" s="10">
        <v>18.4843137254902</v>
      </c>
      <c r="J100" s="2">
        <v>13.6</v>
      </c>
      <c r="K100" s="2">
        <v>11.3</v>
      </c>
      <c r="L100" s="2">
        <v>2</v>
      </c>
      <c r="M100" s="2">
        <v>1.7</v>
      </c>
      <c r="N100" s="10">
        <v>9.7820261437908496</v>
      </c>
      <c r="P100" s="4">
        <f t="shared" si="6"/>
        <v>-0.6</v>
      </c>
      <c r="Q100" s="4">
        <f t="shared" si="7"/>
        <v>9.4333333333333336</v>
      </c>
      <c r="R100" s="4">
        <f t="shared" si="8"/>
        <v>18.861437908496736</v>
      </c>
      <c r="S100" s="4">
        <f t="shared" si="9"/>
        <v>8.9666666666666668</v>
      </c>
    </row>
    <row r="101" spans="1:19" x14ac:dyDescent="0.2">
      <c r="A101" s="1">
        <v>1996</v>
      </c>
      <c r="B101" s="2">
        <v>-1.5</v>
      </c>
      <c r="C101" s="2">
        <v>-2</v>
      </c>
      <c r="D101" s="2">
        <v>1.7</v>
      </c>
      <c r="E101" s="2">
        <v>10.1</v>
      </c>
      <c r="F101" s="2">
        <v>16</v>
      </c>
      <c r="G101" s="2">
        <v>18.600000000000001</v>
      </c>
      <c r="H101" s="2">
        <v>18.399999999999999</v>
      </c>
      <c r="I101" s="2">
        <v>19.600000000000001</v>
      </c>
      <c r="J101" s="2">
        <v>12.1</v>
      </c>
      <c r="K101" s="2">
        <v>10.9</v>
      </c>
      <c r="L101" s="10">
        <v>7.8735849056603762</v>
      </c>
      <c r="M101" s="2">
        <v>-1.6</v>
      </c>
      <c r="N101" s="10">
        <v>9.1811320754716998</v>
      </c>
      <c r="P101" s="4">
        <f t="shared" si="6"/>
        <v>0.30251572327044007</v>
      </c>
      <c r="Q101" s="4">
        <f t="shared" si="7"/>
        <v>9.2666666666666657</v>
      </c>
      <c r="R101" s="4">
        <f t="shared" si="8"/>
        <v>18.866666666666667</v>
      </c>
      <c r="S101" s="4">
        <f t="shared" si="9"/>
        <v>10.291194968553459</v>
      </c>
    </row>
    <row r="102" spans="1:19" x14ac:dyDescent="0.2">
      <c r="A102" s="1">
        <v>1997</v>
      </c>
      <c r="B102" s="10">
        <v>-0.54716981132075482</v>
      </c>
      <c r="C102" s="10">
        <v>3.0547169811320751</v>
      </c>
      <c r="D102" s="10">
        <v>5.0018867924528285</v>
      </c>
      <c r="E102" s="10">
        <v>6.4188679245283051</v>
      </c>
      <c r="F102" s="10">
        <v>15.826415094339616</v>
      </c>
      <c r="G102" s="10">
        <v>19.315094339622647</v>
      </c>
      <c r="H102" s="10">
        <v>18.901960784313726</v>
      </c>
      <c r="I102" s="10">
        <v>18.584313725490198</v>
      </c>
      <c r="J102" s="10">
        <v>14.658490566037734</v>
      </c>
      <c r="K102" s="2">
        <v>8</v>
      </c>
      <c r="L102" s="2">
        <v>6.7</v>
      </c>
      <c r="M102" s="2">
        <v>3</v>
      </c>
      <c r="N102" s="10">
        <v>9.9095480330496972</v>
      </c>
      <c r="P102" s="4">
        <f t="shared" si="6"/>
        <v>3.2333333333333329</v>
      </c>
      <c r="Q102" s="4">
        <f t="shared" si="7"/>
        <v>9.0823899371069157</v>
      </c>
      <c r="R102" s="4">
        <f t="shared" si="8"/>
        <v>18.933789616475526</v>
      </c>
      <c r="S102" s="4">
        <f t="shared" si="9"/>
        <v>9.7861635220125773</v>
      </c>
    </row>
    <row r="103" spans="1:19" x14ac:dyDescent="0.2">
      <c r="A103" s="1">
        <v>1998</v>
      </c>
      <c r="B103" s="1">
        <v>2.4</v>
      </c>
      <c r="C103" s="1">
        <v>4.3</v>
      </c>
      <c r="D103" s="1">
        <v>3.7</v>
      </c>
      <c r="E103" s="1">
        <v>12.6</v>
      </c>
      <c r="F103" s="1">
        <v>14.4</v>
      </c>
      <c r="G103" s="1">
        <v>20.2</v>
      </c>
      <c r="H103" s="2">
        <v>21.2</v>
      </c>
      <c r="I103" s="2">
        <v>20.6</v>
      </c>
      <c r="J103" s="2">
        <v>15.1</v>
      </c>
      <c r="K103" s="2">
        <v>11.8</v>
      </c>
      <c r="L103" s="2">
        <v>3.4</v>
      </c>
      <c r="M103" s="2">
        <v>-2.6</v>
      </c>
      <c r="N103" s="2">
        <v>10.6</v>
      </c>
      <c r="P103" s="4">
        <f t="shared" si="6"/>
        <v>-0.70000000000000007</v>
      </c>
      <c r="Q103" s="4">
        <f t="shared" si="7"/>
        <v>10.233333333333334</v>
      </c>
      <c r="R103" s="4">
        <f t="shared" si="8"/>
        <v>20.666666666666668</v>
      </c>
      <c r="S103" s="4">
        <f t="shared" si="9"/>
        <v>10.1</v>
      </c>
    </row>
    <row r="104" spans="1:19" x14ac:dyDescent="0.2">
      <c r="A104" s="1">
        <v>1999</v>
      </c>
      <c r="B104" s="1">
        <v>0.3</v>
      </c>
      <c r="C104" s="1">
        <v>0.2</v>
      </c>
      <c r="D104" s="1">
        <v>7.7</v>
      </c>
      <c r="E104" s="1">
        <v>11.5</v>
      </c>
      <c r="F104" s="1">
        <v>16</v>
      </c>
      <c r="G104" s="1">
        <v>18.7</v>
      </c>
      <c r="H104" s="1">
        <v>20</v>
      </c>
      <c r="I104" s="1">
        <v>20.7</v>
      </c>
      <c r="J104" s="1">
        <v>17.2</v>
      </c>
      <c r="K104" s="1">
        <v>10.9</v>
      </c>
      <c r="L104" s="1">
        <v>3.7</v>
      </c>
      <c r="M104" s="1">
        <v>1</v>
      </c>
      <c r="N104" s="1">
        <v>10.7</v>
      </c>
      <c r="P104" s="4">
        <f t="shared" si="6"/>
        <v>0.43333333333333329</v>
      </c>
      <c r="Q104" s="4">
        <f t="shared" si="7"/>
        <v>11.733333333333334</v>
      </c>
      <c r="R104" s="4">
        <f t="shared" si="8"/>
        <v>19.8</v>
      </c>
      <c r="S104" s="4">
        <f t="shared" si="9"/>
        <v>10.6</v>
      </c>
    </row>
    <row r="105" spans="1:19" x14ac:dyDescent="0.2">
      <c r="A105" s="1">
        <v>2000</v>
      </c>
      <c r="B105" s="1">
        <v>-2.5</v>
      </c>
      <c r="C105" s="1">
        <v>2.8</v>
      </c>
      <c r="D105" s="1">
        <v>6.1</v>
      </c>
      <c r="E105" s="1">
        <v>13.7</v>
      </c>
      <c r="F105" s="1">
        <v>16.7</v>
      </c>
      <c r="G105" s="1">
        <v>19.7</v>
      </c>
      <c r="H105" s="1">
        <v>20.9</v>
      </c>
      <c r="I105" s="1">
        <v>22.9</v>
      </c>
      <c r="J105" s="1">
        <v>15.7</v>
      </c>
      <c r="K105" s="1">
        <v>13.4</v>
      </c>
      <c r="L105" s="1">
        <v>10.4</v>
      </c>
      <c r="M105" s="1">
        <v>3.9</v>
      </c>
      <c r="N105" s="1">
        <v>12</v>
      </c>
      <c r="P105" s="4">
        <f t="shared" si="6"/>
        <v>3.7666666666666662</v>
      </c>
      <c r="Q105" s="4">
        <f t="shared" si="7"/>
        <v>12.166666666666666</v>
      </c>
      <c r="R105" s="4">
        <f t="shared" si="8"/>
        <v>21.166666666666664</v>
      </c>
      <c r="S105" s="4">
        <f t="shared" si="9"/>
        <v>13.166666666666666</v>
      </c>
    </row>
    <row r="106" spans="1:19" x14ac:dyDescent="0.2">
      <c r="A106" s="1">
        <v>2001</v>
      </c>
      <c r="B106" s="1">
        <v>3.8</v>
      </c>
      <c r="C106" s="1">
        <v>3.6</v>
      </c>
      <c r="D106" s="1">
        <v>10.9</v>
      </c>
      <c r="E106" s="1">
        <v>9.9</v>
      </c>
      <c r="F106" s="1">
        <v>16.2</v>
      </c>
      <c r="G106" s="1">
        <v>16.7</v>
      </c>
      <c r="H106" s="1">
        <v>20.3</v>
      </c>
      <c r="I106" s="1">
        <v>20.7</v>
      </c>
      <c r="J106" s="1">
        <v>13.8</v>
      </c>
      <c r="K106" s="1">
        <v>13.3</v>
      </c>
      <c r="L106" s="1">
        <v>3.1</v>
      </c>
      <c r="M106" s="1">
        <v>-3</v>
      </c>
      <c r="N106" s="1">
        <v>10.8</v>
      </c>
      <c r="P106" s="4">
        <f t="shared" si="6"/>
        <v>0.79999999999999982</v>
      </c>
      <c r="Q106" s="4">
        <f t="shared" si="7"/>
        <v>12.333333333333334</v>
      </c>
      <c r="R106" s="4">
        <f t="shared" si="8"/>
        <v>19.233333333333334</v>
      </c>
      <c r="S106" s="4">
        <f t="shared" si="9"/>
        <v>10.066666666666668</v>
      </c>
    </row>
    <row r="107" spans="1:19" x14ac:dyDescent="0.2">
      <c r="A107" s="1">
        <v>2002</v>
      </c>
      <c r="B107" s="1">
        <v>-0.7</v>
      </c>
      <c r="C107" s="1">
        <v>6.1</v>
      </c>
      <c r="D107" s="1">
        <v>8.4</v>
      </c>
      <c r="E107" s="1">
        <v>10.199999999999999</v>
      </c>
      <c r="F107" s="1">
        <v>16.5</v>
      </c>
      <c r="G107" s="1">
        <v>19.8</v>
      </c>
      <c r="H107" s="1">
        <v>21.1</v>
      </c>
      <c r="I107" s="1">
        <v>19.600000000000001</v>
      </c>
      <c r="J107" s="1">
        <v>14.4</v>
      </c>
      <c r="K107" s="1">
        <v>11.5</v>
      </c>
      <c r="L107" s="1">
        <v>10.199999999999999</v>
      </c>
      <c r="M107" s="1">
        <v>1.3</v>
      </c>
      <c r="N107" s="1">
        <v>11.5</v>
      </c>
      <c r="P107" s="4">
        <f t="shared" si="6"/>
        <v>-0.70000000000000007</v>
      </c>
      <c r="Q107" s="4">
        <f t="shared" si="7"/>
        <v>11.700000000000001</v>
      </c>
      <c r="R107" s="4">
        <f t="shared" si="8"/>
        <v>20.166666666666668</v>
      </c>
      <c r="S107" s="4">
        <f t="shared" si="9"/>
        <v>12.033333333333331</v>
      </c>
    </row>
    <row r="108" spans="1:19" x14ac:dyDescent="0.2">
      <c r="A108" s="1">
        <v>2003</v>
      </c>
      <c r="B108" s="1">
        <v>-0.8</v>
      </c>
      <c r="C108" s="1">
        <v>-2.6</v>
      </c>
      <c r="D108" s="1">
        <v>5.6</v>
      </c>
      <c r="E108" s="1">
        <v>10.199999999999999</v>
      </c>
      <c r="F108" s="1">
        <v>18</v>
      </c>
      <c r="G108" s="1">
        <v>22.3</v>
      </c>
      <c r="H108" s="1">
        <v>21.2</v>
      </c>
      <c r="I108" s="1">
        <v>22.8</v>
      </c>
      <c r="J108" s="1">
        <v>15</v>
      </c>
      <c r="K108" s="1">
        <v>9.1</v>
      </c>
      <c r="L108" s="1">
        <v>8</v>
      </c>
      <c r="M108" s="1">
        <v>0.9</v>
      </c>
      <c r="N108" s="1">
        <v>10.8</v>
      </c>
      <c r="P108" s="4">
        <f t="shared" si="6"/>
        <v>0.83333333333333337</v>
      </c>
      <c r="Q108" s="4">
        <f t="shared" si="7"/>
        <v>11.266666666666666</v>
      </c>
      <c r="R108" s="4">
        <f t="shared" si="8"/>
        <v>22.099999999999998</v>
      </c>
      <c r="S108" s="4">
        <f t="shared" si="9"/>
        <v>10.700000000000001</v>
      </c>
    </row>
    <row r="109" spans="1:19" x14ac:dyDescent="0.2">
      <c r="A109" s="1">
        <v>2004</v>
      </c>
      <c r="B109" s="1">
        <v>-1</v>
      </c>
      <c r="C109" s="1">
        <v>2.6</v>
      </c>
      <c r="D109" s="1">
        <v>5.9</v>
      </c>
      <c r="E109" s="1">
        <v>11.3</v>
      </c>
      <c r="F109" s="1">
        <v>13.4</v>
      </c>
      <c r="G109" s="1">
        <v>18.2</v>
      </c>
      <c r="H109" s="1">
        <v>20.399999999999999</v>
      </c>
      <c r="I109" s="1">
        <v>19.600000000000001</v>
      </c>
      <c r="J109" s="1">
        <v>14.9</v>
      </c>
      <c r="K109" s="1">
        <v>13.7</v>
      </c>
      <c r="L109" s="1">
        <v>4.9000000000000004</v>
      </c>
      <c r="M109" s="1">
        <v>2.2000000000000002</v>
      </c>
      <c r="N109" s="1">
        <v>10.5</v>
      </c>
      <c r="P109" s="4">
        <f t="shared" si="6"/>
        <v>-0.3333333333333332</v>
      </c>
      <c r="Q109" s="4">
        <f t="shared" si="7"/>
        <v>10.200000000000001</v>
      </c>
      <c r="R109" s="4">
        <f t="shared" si="8"/>
        <v>19.399999999999999</v>
      </c>
      <c r="S109" s="4">
        <f t="shared" si="9"/>
        <v>11.166666666666666</v>
      </c>
    </row>
    <row r="110" spans="1:19" x14ac:dyDescent="0.2">
      <c r="A110" s="1">
        <v>2005</v>
      </c>
      <c r="B110" s="1">
        <v>-0.4</v>
      </c>
      <c r="C110" s="1">
        <v>-2.8</v>
      </c>
      <c r="D110" s="1">
        <v>3.6</v>
      </c>
      <c r="E110" s="1">
        <v>10.6</v>
      </c>
      <c r="F110" s="1">
        <v>15.4</v>
      </c>
      <c r="G110" s="1">
        <v>17.600000000000001</v>
      </c>
      <c r="H110" s="1">
        <v>20.100000000000001</v>
      </c>
      <c r="I110" s="1">
        <v>18.399999999999999</v>
      </c>
      <c r="J110" s="1">
        <v>16</v>
      </c>
      <c r="K110" s="1">
        <v>11.1</v>
      </c>
      <c r="L110" s="1">
        <v>5</v>
      </c>
      <c r="M110" s="1">
        <v>1.1000000000000001</v>
      </c>
      <c r="N110" s="1">
        <v>9.6999999999999993</v>
      </c>
      <c r="P110" s="4">
        <f t="shared" si="6"/>
        <v>0.10000000000000002</v>
      </c>
      <c r="Q110" s="4">
        <f t="shared" si="7"/>
        <v>9.8666666666666671</v>
      </c>
      <c r="R110" s="4">
        <f t="shared" si="8"/>
        <v>18.7</v>
      </c>
      <c r="S110" s="4">
        <f t="shared" si="9"/>
        <v>10.700000000000001</v>
      </c>
    </row>
    <row r="111" spans="1:19" x14ac:dyDescent="0.2">
      <c r="A111" s="1">
        <v>2006</v>
      </c>
      <c r="B111" s="1">
        <v>-1.8</v>
      </c>
      <c r="C111" s="1">
        <v>1</v>
      </c>
      <c r="D111" s="1">
        <v>5</v>
      </c>
      <c r="E111" s="1">
        <v>11.5</v>
      </c>
      <c r="F111" s="1">
        <v>14.9</v>
      </c>
      <c r="G111" s="1">
        <v>18.100000000000001</v>
      </c>
      <c r="H111" s="1">
        <v>21.3</v>
      </c>
      <c r="I111" s="1">
        <v>18.5</v>
      </c>
      <c r="J111" s="1">
        <v>16.600000000000001</v>
      </c>
      <c r="K111" s="1">
        <v>12.6</v>
      </c>
      <c r="L111" s="1">
        <v>7</v>
      </c>
      <c r="M111" s="1">
        <v>3.4</v>
      </c>
      <c r="N111" s="1">
        <v>10.7</v>
      </c>
      <c r="P111" s="4">
        <f t="shared" si="6"/>
        <v>5.0666666666666673</v>
      </c>
      <c r="Q111" s="4">
        <f t="shared" si="7"/>
        <v>10.466666666666667</v>
      </c>
      <c r="R111" s="4">
        <f t="shared" si="8"/>
        <v>19.3</v>
      </c>
      <c r="S111" s="4">
        <f t="shared" si="9"/>
        <v>12.066666666666668</v>
      </c>
    </row>
    <row r="112" spans="1:19" x14ac:dyDescent="0.2">
      <c r="A112" s="1">
        <v>2007</v>
      </c>
      <c r="B112" s="1">
        <v>5.4</v>
      </c>
      <c r="C112" s="1">
        <v>6.4</v>
      </c>
      <c r="D112" s="1">
        <v>8.6999999999999993</v>
      </c>
      <c r="E112" s="1">
        <v>12.2</v>
      </c>
      <c r="F112" s="1">
        <v>16.7</v>
      </c>
      <c r="G112" s="1">
        <v>21.4</v>
      </c>
      <c r="H112" s="1">
        <v>22.7</v>
      </c>
      <c r="I112" s="1">
        <v>21.4</v>
      </c>
      <c r="J112" s="1">
        <v>13.5</v>
      </c>
      <c r="K112" s="1">
        <v>9.5</v>
      </c>
      <c r="L112" s="1">
        <v>3.2</v>
      </c>
      <c r="M112" s="1">
        <v>-0.3</v>
      </c>
      <c r="N112" s="1">
        <v>11.7</v>
      </c>
      <c r="P112" s="4">
        <f t="shared" si="6"/>
        <v>2.3666666666666667</v>
      </c>
      <c r="Q112" s="4">
        <f t="shared" si="7"/>
        <v>12.533333333333331</v>
      </c>
      <c r="R112" s="4">
        <f t="shared" si="8"/>
        <v>21.833333333333332</v>
      </c>
      <c r="S112" s="4">
        <f t="shared" si="9"/>
        <v>8.7333333333333325</v>
      </c>
    </row>
    <row r="113" spans="1:19" x14ac:dyDescent="0.2">
      <c r="A113" s="1">
        <v>2008</v>
      </c>
      <c r="B113" s="1">
        <v>2.7</v>
      </c>
      <c r="C113" s="1">
        <v>4.7</v>
      </c>
      <c r="D113" s="1">
        <v>7</v>
      </c>
      <c r="E113" s="1">
        <v>11.8</v>
      </c>
      <c r="F113" s="1">
        <v>16.399999999999999</v>
      </c>
      <c r="G113" s="1">
        <v>20.100000000000001</v>
      </c>
      <c r="H113" s="1">
        <v>20.8</v>
      </c>
      <c r="I113" s="1">
        <v>20.8</v>
      </c>
      <c r="J113" s="1">
        <v>14.5</v>
      </c>
      <c r="K113" s="1">
        <v>12.2</v>
      </c>
      <c r="L113" s="1">
        <v>7.7</v>
      </c>
      <c r="M113" s="1">
        <v>4.0999999999999996</v>
      </c>
      <c r="N113" s="1">
        <v>11.9</v>
      </c>
      <c r="P113" s="4">
        <f t="shared" si="6"/>
        <v>1.5</v>
      </c>
      <c r="Q113" s="4">
        <f t="shared" si="7"/>
        <v>11.733333333333334</v>
      </c>
      <c r="R113" s="4">
        <f t="shared" si="8"/>
        <v>20.566666666666666</v>
      </c>
      <c r="S113" s="4">
        <f t="shared" si="9"/>
        <v>11.466666666666667</v>
      </c>
    </row>
    <row r="114" spans="1:19" x14ac:dyDescent="0.2">
      <c r="A114" s="1">
        <v>2009</v>
      </c>
      <c r="B114" s="1">
        <v>-1.3</v>
      </c>
      <c r="C114" s="1">
        <v>1.7</v>
      </c>
      <c r="D114" s="1">
        <v>6.2</v>
      </c>
      <c r="E114" s="1">
        <v>13</v>
      </c>
      <c r="F114" s="1">
        <v>17.3</v>
      </c>
      <c r="G114" s="1">
        <v>18.5</v>
      </c>
      <c r="H114" s="1">
        <v>21.3</v>
      </c>
      <c r="I114" s="1">
        <v>21</v>
      </c>
      <c r="J114" s="1">
        <v>17.399999999999999</v>
      </c>
      <c r="K114" s="1">
        <v>10.3</v>
      </c>
      <c r="L114" s="1">
        <v>8.1999999999999993</v>
      </c>
      <c r="M114" s="1">
        <v>3.3</v>
      </c>
      <c r="N114" s="1">
        <v>11.4</v>
      </c>
      <c r="P114" s="4">
        <f t="shared" si="6"/>
        <v>1.5999999999999999</v>
      </c>
      <c r="Q114" s="4">
        <f t="shared" si="7"/>
        <v>12.166666666666666</v>
      </c>
      <c r="R114" s="4">
        <f t="shared" si="8"/>
        <v>20.266666666666666</v>
      </c>
      <c r="S114" s="4">
        <f t="shared" si="9"/>
        <v>11.966666666666667</v>
      </c>
    </row>
    <row r="115" spans="1:19" x14ac:dyDescent="0.2">
      <c r="A115" s="1">
        <v>2010</v>
      </c>
      <c r="B115" s="1">
        <v>-0.3</v>
      </c>
      <c r="C115" s="1">
        <v>1.8</v>
      </c>
      <c r="D115" s="1">
        <v>6.3</v>
      </c>
      <c r="E115" s="1">
        <v>11.2</v>
      </c>
      <c r="F115" s="1">
        <v>15.1</v>
      </c>
      <c r="G115" s="1">
        <v>19</v>
      </c>
      <c r="H115" s="1">
        <v>21.1</v>
      </c>
      <c r="I115" s="1">
        <v>20.7</v>
      </c>
      <c r="J115" s="1">
        <v>14.9</v>
      </c>
      <c r="K115" s="1">
        <v>8.6</v>
      </c>
      <c r="L115" s="1">
        <v>9.6</v>
      </c>
      <c r="M115" s="1">
        <v>1.3</v>
      </c>
      <c r="N115" s="1">
        <v>10.8</v>
      </c>
      <c r="P115" s="4">
        <f t="shared" si="6"/>
        <v>1.0333333333333334</v>
      </c>
      <c r="Q115" s="4">
        <f t="shared" si="7"/>
        <v>10.866666666666667</v>
      </c>
      <c r="R115" s="4">
        <f t="shared" si="8"/>
        <v>20.266666666666666</v>
      </c>
      <c r="S115" s="4">
        <f t="shared" si="9"/>
        <v>11.033333333333333</v>
      </c>
    </row>
    <row r="116" spans="1:19" x14ac:dyDescent="0.2">
      <c r="A116" s="1">
        <v>2011</v>
      </c>
      <c r="B116" s="1">
        <v>0.9</v>
      </c>
      <c r="C116" s="1">
        <v>0.9</v>
      </c>
      <c r="D116" s="1">
        <v>6.1</v>
      </c>
      <c r="E116" s="1">
        <v>12.1</v>
      </c>
      <c r="F116" s="1">
        <v>14.8</v>
      </c>
      <c r="G116" s="1">
        <v>19.2</v>
      </c>
      <c r="H116" s="1">
        <v>21.2</v>
      </c>
      <c r="I116" s="1">
        <v>22</v>
      </c>
      <c r="J116" s="1">
        <v>19.399999999999999</v>
      </c>
      <c r="K116" s="1">
        <v>9.6</v>
      </c>
      <c r="L116" s="1">
        <v>2.8</v>
      </c>
      <c r="M116" s="1">
        <v>3</v>
      </c>
      <c r="N116" s="1">
        <v>11</v>
      </c>
      <c r="P116" s="4">
        <f t="shared" si="6"/>
        <v>-0.20000000000000004</v>
      </c>
      <c r="Q116" s="4">
        <f t="shared" si="7"/>
        <v>11</v>
      </c>
      <c r="R116" s="4">
        <f t="shared" si="8"/>
        <v>20.8</v>
      </c>
      <c r="S116" s="4">
        <f t="shared" si="9"/>
        <v>10.6</v>
      </c>
    </row>
    <row r="117" spans="1:19" x14ac:dyDescent="0.2">
      <c r="A117" s="1">
        <v>2012</v>
      </c>
      <c r="B117" s="1">
        <v>0.6</v>
      </c>
      <c r="C117" s="1">
        <v>-4.2</v>
      </c>
      <c r="D117" s="1">
        <v>8.4</v>
      </c>
      <c r="E117" s="1">
        <v>11.5</v>
      </c>
      <c r="F117" s="1">
        <v>14.8</v>
      </c>
      <c r="G117" s="1">
        <v>21.4</v>
      </c>
      <c r="H117" s="1">
        <v>23.9</v>
      </c>
      <c r="I117" s="1">
        <v>23.3</v>
      </c>
      <c r="J117" s="1">
        <v>18.3</v>
      </c>
      <c r="K117" s="1">
        <v>12.3</v>
      </c>
      <c r="L117" s="1">
        <v>9.5</v>
      </c>
      <c r="M117" s="1">
        <v>0.9</v>
      </c>
      <c r="N117" s="1">
        <v>11.7</v>
      </c>
      <c r="P117" s="4">
        <f t="shared" si="6"/>
        <v>2.0333333333333332</v>
      </c>
      <c r="Q117" s="4">
        <f t="shared" si="7"/>
        <v>11.566666666666668</v>
      </c>
      <c r="R117" s="4">
        <f t="shared" si="8"/>
        <v>22.866666666666664</v>
      </c>
      <c r="S117" s="4">
        <f t="shared" si="9"/>
        <v>13.366666666666667</v>
      </c>
    </row>
    <row r="118" spans="1:19" x14ac:dyDescent="0.2">
      <c r="A118" s="1">
        <v>2013</v>
      </c>
      <c r="B118" s="1">
        <v>2.7</v>
      </c>
      <c r="C118" s="1">
        <v>2.5</v>
      </c>
      <c r="D118" s="1">
        <v>5.7</v>
      </c>
      <c r="E118" s="1">
        <v>12.8</v>
      </c>
      <c r="F118" s="1">
        <v>15.7</v>
      </c>
      <c r="G118" s="1">
        <v>18.600000000000001</v>
      </c>
      <c r="H118" s="1">
        <v>20.9</v>
      </c>
      <c r="I118" s="1">
        <v>21.6</v>
      </c>
      <c r="J118" s="1">
        <v>15</v>
      </c>
      <c r="K118" s="1">
        <v>12.9</v>
      </c>
      <c r="L118" s="1">
        <v>7.6</v>
      </c>
      <c r="M118" s="1">
        <v>1.4</v>
      </c>
      <c r="N118" s="1">
        <v>11.5</v>
      </c>
      <c r="P118" s="4">
        <f t="shared" si="6"/>
        <v>4.4666666666666659</v>
      </c>
      <c r="Q118" s="4">
        <f t="shared" si="7"/>
        <v>11.4</v>
      </c>
      <c r="R118" s="4">
        <f t="shared" si="8"/>
        <v>20.366666666666667</v>
      </c>
      <c r="S118" s="4">
        <f t="shared" si="9"/>
        <v>11.833333333333334</v>
      </c>
    </row>
    <row r="119" spans="1:19" x14ac:dyDescent="0.2">
      <c r="A119" s="1">
        <v>2014</v>
      </c>
      <c r="B119" s="1">
        <v>5.3</v>
      </c>
      <c r="C119" s="1">
        <v>6.7</v>
      </c>
      <c r="D119" s="1">
        <v>8.6</v>
      </c>
      <c r="E119" s="1">
        <v>11.5</v>
      </c>
      <c r="F119" s="1">
        <v>14.5</v>
      </c>
      <c r="G119" s="1">
        <v>18.5</v>
      </c>
      <c r="H119" s="1">
        <v>20.3</v>
      </c>
      <c r="I119" s="1">
        <v>19.600000000000001</v>
      </c>
      <c r="J119" s="1">
        <v>15.6</v>
      </c>
      <c r="K119" s="1">
        <v>12.2</v>
      </c>
      <c r="L119" s="1">
        <v>8.6999999999999993</v>
      </c>
      <c r="M119" s="1">
        <v>2.9</v>
      </c>
      <c r="N119" s="1">
        <v>12</v>
      </c>
      <c r="P119" s="4">
        <f t="shared" si="6"/>
        <v>2.4999999999999996</v>
      </c>
      <c r="Q119" s="4">
        <f t="shared" si="7"/>
        <v>11.533333333333333</v>
      </c>
      <c r="R119" s="4">
        <f t="shared" si="8"/>
        <v>19.466666666666665</v>
      </c>
      <c r="S119" s="4">
        <f t="shared" si="9"/>
        <v>12.166666666666666</v>
      </c>
    </row>
    <row r="120" spans="1:19" x14ac:dyDescent="0.2">
      <c r="A120" s="1">
        <v>2015</v>
      </c>
      <c r="B120" s="1">
        <v>2.2999999999999998</v>
      </c>
      <c r="C120" s="1">
        <v>2.2999999999999998</v>
      </c>
      <c r="D120" s="1">
        <v>6</v>
      </c>
      <c r="E120" s="1">
        <v>10.7</v>
      </c>
      <c r="F120" s="1">
        <v>16.600000000000001</v>
      </c>
      <c r="G120" s="1">
        <v>19</v>
      </c>
      <c r="H120" s="1">
        <v>23.3</v>
      </c>
      <c r="I120" s="1">
        <v>22.9</v>
      </c>
      <c r="J120" s="1">
        <v>17.3</v>
      </c>
      <c r="K120" s="1">
        <v>11.6</v>
      </c>
      <c r="L120" s="1">
        <v>6.6</v>
      </c>
      <c r="M120" s="1">
        <v>2.4</v>
      </c>
      <c r="N120" s="1">
        <v>11.8</v>
      </c>
      <c r="P120" s="4">
        <f t="shared" si="6"/>
        <v>3.8333333333333335</v>
      </c>
      <c r="Q120" s="4">
        <f>AVERAGE(D120:F120)</f>
        <v>11.1</v>
      </c>
      <c r="R120" s="4">
        <f>AVERAGE(G120:I120)</f>
        <v>21.733333333333331</v>
      </c>
      <c r="S120" s="4">
        <f>AVERAGE(J120:L120)</f>
        <v>11.833333333333334</v>
      </c>
    </row>
    <row r="121" spans="1:19" x14ac:dyDescent="0.2">
      <c r="A121" s="1">
        <v>2016</v>
      </c>
      <c r="B121" s="1">
        <v>1.7</v>
      </c>
      <c r="C121" s="1">
        <v>7.4</v>
      </c>
      <c r="D121" s="1">
        <v>7.2</v>
      </c>
      <c r="E121" s="1">
        <v>12.9</v>
      </c>
      <c r="F121" s="1">
        <v>14.7</v>
      </c>
      <c r="G121" s="1">
        <v>20.100000000000001</v>
      </c>
      <c r="H121" s="1">
        <v>21.5</v>
      </c>
      <c r="I121" s="1">
        <v>19.100000000000001</v>
      </c>
      <c r="J121" s="1">
        <v>16.600000000000001</v>
      </c>
      <c r="K121" s="1">
        <v>9.9</v>
      </c>
      <c r="L121" s="1">
        <v>7.1</v>
      </c>
      <c r="M121" s="1">
        <v>0.2</v>
      </c>
      <c r="N121" s="1">
        <v>11.5</v>
      </c>
      <c r="P121" s="4">
        <f t="shared" si="6"/>
        <v>-6.6666666666666721E-2</v>
      </c>
      <c r="Q121" s="4">
        <f>AVERAGE(D121:F121)</f>
        <v>11.6</v>
      </c>
      <c r="R121" s="4">
        <f>AVERAGE(G121:I121)</f>
        <v>20.233333333333334</v>
      </c>
      <c r="S121" s="4">
        <f>AVERAGE(J121:L121)</f>
        <v>11.200000000000001</v>
      </c>
    </row>
    <row r="122" spans="1:19" x14ac:dyDescent="0.2">
      <c r="A122" s="1">
        <v>2017</v>
      </c>
      <c r="B122" s="1">
        <v>-5.2</v>
      </c>
      <c r="C122" s="1">
        <v>4.8</v>
      </c>
      <c r="D122" s="1">
        <v>9.1999999999999993</v>
      </c>
      <c r="E122" s="1">
        <v>10.199999999999999</v>
      </c>
      <c r="F122" s="1">
        <v>16.3</v>
      </c>
      <c r="G122" s="1">
        <v>21.1</v>
      </c>
      <c r="H122" s="1">
        <v>22.4</v>
      </c>
      <c r="I122" s="1">
        <v>22.9</v>
      </c>
      <c r="J122" s="1">
        <v>15.7</v>
      </c>
      <c r="K122" s="1">
        <v>11.4</v>
      </c>
      <c r="L122" s="1">
        <v>6.2</v>
      </c>
      <c r="M122" s="1">
        <v>3.5</v>
      </c>
      <c r="N122" s="1">
        <v>11.5</v>
      </c>
      <c r="P122" s="4">
        <f t="shared" si="6"/>
        <v>2.6666666666666665</v>
      </c>
      <c r="Q122" s="4">
        <f t="shared" ref="Q122:Q125" si="10">AVERAGE(D122:F122)</f>
        <v>11.9</v>
      </c>
      <c r="R122" s="4">
        <f t="shared" ref="R122:R125" si="11">AVERAGE(G122:I122)</f>
        <v>22.133333333333336</v>
      </c>
      <c r="S122" s="4">
        <f t="shared" ref="S122:S125" si="12">AVERAGE(J122:L122)</f>
        <v>11.100000000000001</v>
      </c>
    </row>
    <row r="123" spans="1:19" x14ac:dyDescent="0.2">
      <c r="A123" s="1">
        <v>2018</v>
      </c>
      <c r="B123" s="1">
        <v>4.0999999999999996</v>
      </c>
      <c r="C123" s="1">
        <v>0.4</v>
      </c>
      <c r="D123" s="1">
        <v>4.9000000000000004</v>
      </c>
      <c r="E123" s="1">
        <v>15.8</v>
      </c>
      <c r="F123" s="1">
        <v>18</v>
      </c>
      <c r="G123" s="1">
        <v>19.399999999999999</v>
      </c>
      <c r="H123" s="1">
        <v>20.9</v>
      </c>
      <c r="I123" s="1">
        <v>21.7</v>
      </c>
      <c r="J123" s="1">
        <v>16.3</v>
      </c>
      <c r="K123" s="1">
        <v>13.4</v>
      </c>
      <c r="L123" s="1">
        <v>7.6</v>
      </c>
      <c r="M123" s="1">
        <v>1.6</v>
      </c>
      <c r="N123" s="1">
        <v>12</v>
      </c>
      <c r="P123" s="4">
        <f t="shared" si="6"/>
        <v>1.5666666666666667</v>
      </c>
      <c r="Q123" s="4">
        <f t="shared" si="10"/>
        <v>12.9</v>
      </c>
      <c r="R123" s="4">
        <f t="shared" si="11"/>
        <v>20.666666666666668</v>
      </c>
      <c r="S123" s="4">
        <f t="shared" si="12"/>
        <v>12.433333333333335</v>
      </c>
    </row>
    <row r="124" spans="1:19" x14ac:dyDescent="0.2">
      <c r="A124" s="1">
        <v>2019</v>
      </c>
      <c r="B124" s="2">
        <v>-0.7</v>
      </c>
      <c r="C124" s="2">
        <v>3.8</v>
      </c>
      <c r="D124" s="2">
        <v>8.6</v>
      </c>
      <c r="E124" s="2">
        <v>11.8</v>
      </c>
      <c r="F124" s="2">
        <v>13.1</v>
      </c>
      <c r="G124" s="2">
        <v>21.4</v>
      </c>
      <c r="H124" s="2">
        <v>21.1</v>
      </c>
      <c r="I124" s="2">
        <v>22.2</v>
      </c>
      <c r="J124" s="2">
        <v>16.5</v>
      </c>
      <c r="K124" s="2">
        <v>13</v>
      </c>
      <c r="L124" s="2">
        <v>11.4</v>
      </c>
      <c r="M124" s="2">
        <v>4.2</v>
      </c>
      <c r="N124" s="2">
        <v>12.2</v>
      </c>
      <c r="O124" s="4"/>
      <c r="P124" s="4">
        <f t="shared" si="6"/>
        <v>3.5333333333333337</v>
      </c>
      <c r="Q124" s="4">
        <f t="shared" si="10"/>
        <v>11.166666666666666</v>
      </c>
      <c r="R124" s="4">
        <f t="shared" si="11"/>
        <v>21.566666666666666</v>
      </c>
      <c r="S124" s="4">
        <f t="shared" si="12"/>
        <v>13.633333333333333</v>
      </c>
    </row>
    <row r="125" spans="1:19" x14ac:dyDescent="0.2">
      <c r="A125" s="1">
        <v>2020</v>
      </c>
      <c r="B125" s="1">
        <v>0.9</v>
      </c>
      <c r="C125" s="1">
        <v>5.5</v>
      </c>
      <c r="D125" s="1">
        <v>6.9</v>
      </c>
      <c r="E125" s="1">
        <v>12</v>
      </c>
      <c r="F125" s="1">
        <v>14.1</v>
      </c>
      <c r="G125" s="1">
        <v>18.5</v>
      </c>
      <c r="H125" s="1">
        <v>20.399999999999999</v>
      </c>
      <c r="I125" s="1">
        <v>21.4</v>
      </c>
      <c r="J125" s="1">
        <v>17</v>
      </c>
      <c r="K125" s="1">
        <v>11.7</v>
      </c>
      <c r="L125" s="1">
        <v>6.2</v>
      </c>
      <c r="M125" s="1">
        <v>4.8</v>
      </c>
      <c r="N125" s="2">
        <v>11.6</v>
      </c>
      <c r="P125" s="4"/>
      <c r="Q125" s="4">
        <f t="shared" si="10"/>
        <v>11</v>
      </c>
      <c r="R125" s="4">
        <f t="shared" si="11"/>
        <v>20.099999999999998</v>
      </c>
      <c r="S125" s="4">
        <f t="shared" si="12"/>
        <v>11.633333333333333</v>
      </c>
    </row>
    <row r="126" spans="1:19" x14ac:dyDescent="0.2">
      <c r="N126" s="4">
        <f>AVERAGE(N66:N125)</f>
        <v>10.50789709536272</v>
      </c>
      <c r="O126" s="4" t="e">
        <f t="shared" ref="O126:S126" si="13">AVERAGE(O66:O125)</f>
        <v>#DIV/0!</v>
      </c>
      <c r="P126" s="4">
        <f t="shared" si="13"/>
        <v>1.0194617173404084</v>
      </c>
      <c r="Q126" s="4">
        <f t="shared" si="13"/>
        <v>10.68107966457023</v>
      </c>
      <c r="R126" s="4">
        <f t="shared" si="13"/>
        <v>19.474862703991448</v>
      </c>
      <c r="S126" s="4">
        <f t="shared" si="13"/>
        <v>10.839286435282244</v>
      </c>
    </row>
    <row r="128" spans="1:19" x14ac:dyDescent="0.2">
      <c r="A128" s="11" t="s">
        <v>32</v>
      </c>
      <c r="B128" s="1" t="s">
        <v>17</v>
      </c>
      <c r="C128" s="1" t="s">
        <v>18</v>
      </c>
      <c r="D128" s="1" t="s">
        <v>19</v>
      </c>
      <c r="E128" s="1" t="s">
        <v>20</v>
      </c>
      <c r="F128" s="1" t="s">
        <v>21</v>
      </c>
      <c r="G128" s="1" t="s">
        <v>22</v>
      </c>
      <c r="H128" s="1" t="s">
        <v>23</v>
      </c>
      <c r="I128" s="1" t="s">
        <v>24</v>
      </c>
      <c r="J128" s="1" t="s">
        <v>25</v>
      </c>
      <c r="K128" s="1" t="s">
        <v>26</v>
      </c>
      <c r="L128" s="1" t="s">
        <v>27</v>
      </c>
      <c r="M128" s="1" t="s">
        <v>28</v>
      </c>
      <c r="N128" s="7" t="s">
        <v>35</v>
      </c>
      <c r="O128" s="8"/>
      <c r="P128" s="9" t="s">
        <v>36</v>
      </c>
      <c r="Q128" s="9" t="s">
        <v>37</v>
      </c>
      <c r="R128" s="9" t="s">
        <v>38</v>
      </c>
      <c r="S128" s="9" t="s">
        <v>39</v>
      </c>
    </row>
    <row r="129" spans="1:19" x14ac:dyDescent="0.2">
      <c r="A129" s="11">
        <v>1961</v>
      </c>
      <c r="B129" s="12">
        <v>0.2</v>
      </c>
      <c r="C129" s="12">
        <v>2.7</v>
      </c>
      <c r="D129" s="12">
        <v>7.3</v>
      </c>
      <c r="E129" s="12">
        <v>14.4</v>
      </c>
      <c r="F129" s="12">
        <v>13.6</v>
      </c>
      <c r="G129" s="13">
        <v>18.8</v>
      </c>
      <c r="H129" s="13">
        <v>19.100000000000001</v>
      </c>
      <c r="I129" s="13">
        <v>19</v>
      </c>
      <c r="J129" s="13">
        <v>16.399999999999999</v>
      </c>
      <c r="K129" s="13">
        <v>12.2</v>
      </c>
      <c r="L129" s="13">
        <v>6.8</v>
      </c>
      <c r="M129" s="13">
        <v>0.3</v>
      </c>
      <c r="N129" s="14">
        <v>10.9</v>
      </c>
      <c r="O129" s="2">
        <f>AVERAGE(S129:S133)</f>
        <v>11.533333333333333</v>
      </c>
      <c r="P129" s="4">
        <f>AVERAGE(M129,B130,C130)</f>
        <v>0.26666666666666666</v>
      </c>
      <c r="Q129" s="4">
        <f>AVERAGE(D129:F129)</f>
        <v>11.766666666666666</v>
      </c>
      <c r="R129" s="4">
        <f>AVERAGE(G129:I129)</f>
        <v>18.966666666666669</v>
      </c>
      <c r="S129" s="4">
        <f>AVERAGE(J129:L129)</f>
        <v>11.799999999999999</v>
      </c>
    </row>
    <row r="130" spans="1:19" x14ac:dyDescent="0.2">
      <c r="A130" s="11">
        <v>1962</v>
      </c>
      <c r="B130" s="12">
        <v>0.6</v>
      </c>
      <c r="C130" s="12">
        <v>-0.1</v>
      </c>
      <c r="D130" s="12">
        <v>2.8</v>
      </c>
      <c r="E130" s="12">
        <v>11.4</v>
      </c>
      <c r="F130" s="12">
        <v>15.3</v>
      </c>
      <c r="G130" s="13">
        <v>16.5</v>
      </c>
      <c r="H130" s="13">
        <v>19.600000000000001</v>
      </c>
      <c r="I130" s="13">
        <v>21.6</v>
      </c>
      <c r="J130" s="13">
        <v>15.9</v>
      </c>
      <c r="K130" s="13">
        <v>11.4</v>
      </c>
      <c r="L130" s="13">
        <v>6.6</v>
      </c>
      <c r="M130" s="13">
        <v>-3</v>
      </c>
      <c r="N130" s="14">
        <v>9.9</v>
      </c>
      <c r="O130" s="2">
        <f>AVERAGE(S134:S138)</f>
        <v>11.279999999999998</v>
      </c>
      <c r="P130" s="4">
        <f t="shared" ref="P130:P187" si="14">AVERAGE(M130,B131,C131)</f>
        <v>-3.1999999999999997</v>
      </c>
      <c r="Q130" s="4">
        <f t="shared" ref="Q130:Q188" si="15">AVERAGE(D130:F130)</f>
        <v>9.8333333333333339</v>
      </c>
      <c r="R130" s="4">
        <f t="shared" ref="R130:R188" si="16">AVERAGE(G130:I130)</f>
        <v>19.233333333333334</v>
      </c>
      <c r="S130" s="4">
        <f t="shared" ref="S130:S188" si="17">AVERAGE(J130:L130)</f>
        <v>11.299999999999999</v>
      </c>
    </row>
    <row r="131" spans="1:19" x14ac:dyDescent="0.2">
      <c r="A131" s="11">
        <v>1963</v>
      </c>
      <c r="B131" s="12">
        <v>-5.2</v>
      </c>
      <c r="C131" s="12">
        <v>-1.4</v>
      </c>
      <c r="D131" s="12">
        <v>4.4000000000000004</v>
      </c>
      <c r="E131" s="12">
        <v>11.8</v>
      </c>
      <c r="F131" s="12">
        <v>14.9</v>
      </c>
      <c r="G131" s="13">
        <v>19.399999999999999</v>
      </c>
      <c r="H131" s="13">
        <v>20.399999999999999</v>
      </c>
      <c r="I131" s="13">
        <v>20.399999999999999</v>
      </c>
      <c r="J131" s="13">
        <v>17</v>
      </c>
      <c r="K131" s="13">
        <v>10.199999999999999</v>
      </c>
      <c r="L131" s="13">
        <v>10.4</v>
      </c>
      <c r="M131" s="13">
        <v>-1.4</v>
      </c>
      <c r="N131" s="14">
        <v>10.1</v>
      </c>
      <c r="O131" s="2">
        <f>AVERAGE(S139:S143)</f>
        <v>9.4</v>
      </c>
      <c r="P131" s="4">
        <f t="shared" si="14"/>
        <v>-2.2333333333333338</v>
      </c>
      <c r="Q131" s="4">
        <f t="shared" si="15"/>
        <v>10.366666666666667</v>
      </c>
      <c r="R131" s="4">
        <f t="shared" si="16"/>
        <v>20.066666666666666</v>
      </c>
      <c r="S131" s="4">
        <f t="shared" si="17"/>
        <v>12.533333333333333</v>
      </c>
    </row>
    <row r="132" spans="1:19" x14ac:dyDescent="0.2">
      <c r="A132" s="11">
        <v>1964</v>
      </c>
      <c r="B132" s="12">
        <v>-6.4</v>
      </c>
      <c r="C132" s="12">
        <v>1.1000000000000001</v>
      </c>
      <c r="D132" s="12">
        <v>5.2</v>
      </c>
      <c r="E132" s="12">
        <v>11.6</v>
      </c>
      <c r="F132" s="12">
        <v>14.6</v>
      </c>
      <c r="G132" s="13">
        <v>19.3</v>
      </c>
      <c r="H132" s="13">
        <v>18.7</v>
      </c>
      <c r="I132" s="13">
        <v>17.8</v>
      </c>
      <c r="J132" s="13">
        <v>14.7</v>
      </c>
      <c r="K132" s="13">
        <v>12.1</v>
      </c>
      <c r="L132" s="13">
        <v>7</v>
      </c>
      <c r="M132" s="13">
        <v>1.4</v>
      </c>
      <c r="N132" s="14">
        <v>9.8000000000000007</v>
      </c>
      <c r="O132" s="2">
        <f>AVERAGE(S144:S148)</f>
        <v>10.026666666666667</v>
      </c>
      <c r="P132" s="4">
        <f t="shared" si="14"/>
        <v>-0.26666666666666677</v>
      </c>
      <c r="Q132" s="4">
        <f t="shared" si="15"/>
        <v>10.466666666666667</v>
      </c>
      <c r="R132" s="4">
        <f t="shared" si="16"/>
        <v>18.599999999999998</v>
      </c>
      <c r="S132" s="4">
        <f t="shared" si="17"/>
        <v>11.266666666666666</v>
      </c>
    </row>
    <row r="133" spans="1:19" x14ac:dyDescent="0.2">
      <c r="A133" s="11">
        <v>1965</v>
      </c>
      <c r="B133" s="15">
        <v>0.9</v>
      </c>
      <c r="C133" s="15">
        <v>-3.1</v>
      </c>
      <c r="D133" s="15">
        <v>6.6</v>
      </c>
      <c r="E133" s="15">
        <v>9.4</v>
      </c>
      <c r="F133" s="15">
        <v>13.7</v>
      </c>
      <c r="G133" s="14">
        <v>18.399999999999999</v>
      </c>
      <c r="H133" s="14">
        <v>21.2</v>
      </c>
      <c r="I133" s="14">
        <v>18.2</v>
      </c>
      <c r="J133" s="14">
        <v>16.600000000000001</v>
      </c>
      <c r="K133" s="14">
        <v>9.8000000000000007</v>
      </c>
      <c r="L133" s="14">
        <v>5.9</v>
      </c>
      <c r="M133" s="14">
        <v>3.4</v>
      </c>
      <c r="N133" s="14">
        <v>10.1</v>
      </c>
      <c r="O133" s="2">
        <f>AVERAGE(S149:S153)</f>
        <v>10.44</v>
      </c>
      <c r="P133" s="4">
        <f t="shared" si="14"/>
        <v>2.4333333333333331</v>
      </c>
      <c r="Q133" s="4">
        <f t="shared" si="15"/>
        <v>9.9</v>
      </c>
      <c r="R133" s="4">
        <f t="shared" si="16"/>
        <v>19.266666666666666</v>
      </c>
      <c r="S133" s="4">
        <f t="shared" si="17"/>
        <v>10.766666666666667</v>
      </c>
    </row>
    <row r="134" spans="1:19" x14ac:dyDescent="0.2">
      <c r="A134" s="11">
        <v>1966</v>
      </c>
      <c r="B134" s="12">
        <v>-3.2</v>
      </c>
      <c r="C134" s="12">
        <v>7.1</v>
      </c>
      <c r="D134" s="12">
        <v>4.3</v>
      </c>
      <c r="E134" s="12">
        <v>12</v>
      </c>
      <c r="F134" s="12">
        <v>14.6</v>
      </c>
      <c r="G134" s="13">
        <v>18</v>
      </c>
      <c r="H134" s="13">
        <v>19.399999999999999</v>
      </c>
      <c r="I134" s="13">
        <v>19.100000000000001</v>
      </c>
      <c r="J134" s="13">
        <v>16.100000000000001</v>
      </c>
      <c r="K134" s="13">
        <v>14.5</v>
      </c>
      <c r="L134" s="13">
        <v>5.0999999999999996</v>
      </c>
      <c r="M134" s="13">
        <v>1.2</v>
      </c>
      <c r="N134" s="14">
        <v>10.7</v>
      </c>
      <c r="O134" s="2">
        <f>AVERAGE(S154:S158)</f>
        <v>10.853333333333332</v>
      </c>
      <c r="P134" s="4">
        <f t="shared" si="14"/>
        <v>-0.8666666666666667</v>
      </c>
      <c r="Q134" s="4">
        <f t="shared" si="15"/>
        <v>10.299999999999999</v>
      </c>
      <c r="R134" s="4">
        <f t="shared" si="16"/>
        <v>18.833333333333332</v>
      </c>
      <c r="S134" s="4">
        <f t="shared" si="17"/>
        <v>11.9</v>
      </c>
    </row>
    <row r="135" spans="1:19" x14ac:dyDescent="0.2">
      <c r="A135" s="11">
        <v>1967</v>
      </c>
      <c r="B135" s="12">
        <v>-5.4</v>
      </c>
      <c r="C135" s="12">
        <v>1.6</v>
      </c>
      <c r="D135" s="12">
        <v>6.4</v>
      </c>
      <c r="E135" s="12">
        <v>9.8000000000000007</v>
      </c>
      <c r="F135" s="12">
        <v>15.4</v>
      </c>
      <c r="G135" s="13">
        <v>17.2</v>
      </c>
      <c r="H135" s="13">
        <v>20.399999999999999</v>
      </c>
      <c r="I135" s="13">
        <v>20</v>
      </c>
      <c r="J135" s="13">
        <v>16.600000000000001</v>
      </c>
      <c r="K135" s="13">
        <v>11.6</v>
      </c>
      <c r="L135" s="13">
        <v>6.3</v>
      </c>
      <c r="M135" s="13">
        <v>-1.6</v>
      </c>
      <c r="N135" s="14">
        <v>9.9</v>
      </c>
      <c r="O135" s="2">
        <f>AVERAGE(S159:S163)</f>
        <v>11.117220372425699</v>
      </c>
      <c r="P135" s="4">
        <f t="shared" si="14"/>
        <v>-0.7333333333333335</v>
      </c>
      <c r="Q135" s="4">
        <f t="shared" si="15"/>
        <v>10.533333333333333</v>
      </c>
      <c r="R135" s="4">
        <f t="shared" si="16"/>
        <v>19.2</v>
      </c>
      <c r="S135" s="4">
        <f t="shared" si="17"/>
        <v>11.5</v>
      </c>
    </row>
    <row r="136" spans="1:19" x14ac:dyDescent="0.2">
      <c r="A136" s="11">
        <v>1968</v>
      </c>
      <c r="B136" s="12">
        <v>-3.2</v>
      </c>
      <c r="C136" s="12">
        <v>2.6</v>
      </c>
      <c r="D136" s="12">
        <v>5.9</v>
      </c>
      <c r="E136" s="12">
        <v>13.1</v>
      </c>
      <c r="F136" s="12">
        <v>16.7</v>
      </c>
      <c r="G136" s="13">
        <v>18.3</v>
      </c>
      <c r="H136" s="13">
        <v>19.2</v>
      </c>
      <c r="I136" s="13">
        <v>17.5</v>
      </c>
      <c r="J136" s="13">
        <v>15</v>
      </c>
      <c r="K136" s="13">
        <v>10.9</v>
      </c>
      <c r="L136" s="13">
        <v>7.3</v>
      </c>
      <c r="M136" s="13">
        <v>-1.1000000000000001</v>
      </c>
      <c r="N136" s="14">
        <v>10.199999999999999</v>
      </c>
      <c r="O136" s="2">
        <f>AVERAGE(S164:S168)</f>
        <v>11.02</v>
      </c>
      <c r="P136" s="4">
        <f t="shared" si="14"/>
        <v>-0.23333333333333325</v>
      </c>
      <c r="Q136" s="4">
        <f t="shared" si="15"/>
        <v>11.9</v>
      </c>
      <c r="R136" s="4">
        <f t="shared" si="16"/>
        <v>18.333333333333332</v>
      </c>
      <c r="S136" s="4">
        <f t="shared" si="17"/>
        <v>11.066666666666665</v>
      </c>
    </row>
    <row r="137" spans="1:19" x14ac:dyDescent="0.2">
      <c r="A137" s="11">
        <v>1969</v>
      </c>
      <c r="B137" s="12">
        <v>-1.2</v>
      </c>
      <c r="C137" s="12">
        <v>1.6</v>
      </c>
      <c r="D137" s="12">
        <v>4.9000000000000004</v>
      </c>
      <c r="E137" s="12">
        <v>9.6</v>
      </c>
      <c r="F137" s="12">
        <v>17.7</v>
      </c>
      <c r="G137" s="13">
        <v>16.8</v>
      </c>
      <c r="H137" s="13">
        <v>18.7</v>
      </c>
      <c r="I137" s="13">
        <v>18.600000000000001</v>
      </c>
      <c r="J137" s="13">
        <v>16.600000000000001</v>
      </c>
      <c r="K137" s="13">
        <v>9.8000000000000007</v>
      </c>
      <c r="L137" s="13">
        <v>8.1999999999999993</v>
      </c>
      <c r="M137" s="13">
        <v>-2.8</v>
      </c>
      <c r="N137" s="14">
        <v>9.9</v>
      </c>
      <c r="O137" s="2">
        <f>AVERAGE(S169:S173)</f>
        <v>11.253333333333334</v>
      </c>
      <c r="P137" s="4">
        <f t="shared" si="14"/>
        <v>-0.33333333333333331</v>
      </c>
      <c r="Q137" s="4">
        <f t="shared" si="15"/>
        <v>10.733333333333334</v>
      </c>
      <c r="R137" s="4">
        <f t="shared" si="16"/>
        <v>18.033333333333335</v>
      </c>
      <c r="S137" s="4">
        <f t="shared" si="17"/>
        <v>11.533333333333333</v>
      </c>
    </row>
    <row r="138" spans="1:19" x14ac:dyDescent="0.2">
      <c r="A138" s="11">
        <v>1970</v>
      </c>
      <c r="B138" s="12">
        <v>0.4</v>
      </c>
      <c r="C138" s="12">
        <v>1.4</v>
      </c>
      <c r="D138" s="12">
        <v>5.2</v>
      </c>
      <c r="E138" s="12">
        <v>10.4</v>
      </c>
      <c r="F138" s="12">
        <v>12.8</v>
      </c>
      <c r="G138" s="13">
        <v>18.8</v>
      </c>
      <c r="H138" s="13">
        <v>19.2</v>
      </c>
      <c r="I138" s="13">
        <v>19.8</v>
      </c>
      <c r="J138" s="13">
        <v>15.4</v>
      </c>
      <c r="K138" s="13">
        <v>9.4</v>
      </c>
      <c r="L138" s="13">
        <v>6.4</v>
      </c>
      <c r="M138" s="13">
        <v>0.5</v>
      </c>
      <c r="N138" s="14">
        <v>10</v>
      </c>
      <c r="O138" s="2">
        <f>AVERAGE(S174:S178)</f>
        <v>10.913333333333334</v>
      </c>
      <c r="P138" s="4">
        <f t="shared" si="14"/>
        <v>1.0666666666666667</v>
      </c>
      <c r="Q138" s="4">
        <f t="shared" si="15"/>
        <v>9.4666666666666668</v>
      </c>
      <c r="R138" s="4">
        <f t="shared" si="16"/>
        <v>19.266666666666666</v>
      </c>
      <c r="S138" s="4">
        <f t="shared" si="17"/>
        <v>10.4</v>
      </c>
    </row>
    <row r="139" spans="1:19" x14ac:dyDescent="0.2">
      <c r="A139" s="11">
        <v>1971</v>
      </c>
      <c r="B139" s="12">
        <v>0.1</v>
      </c>
      <c r="C139" s="12">
        <v>2.6</v>
      </c>
      <c r="D139" s="12">
        <v>2.7</v>
      </c>
      <c r="E139" s="12">
        <v>11.9</v>
      </c>
      <c r="F139" s="12">
        <v>16.8</v>
      </c>
      <c r="G139" s="13">
        <v>18.399999999999999</v>
      </c>
      <c r="H139" s="13">
        <v>20</v>
      </c>
      <c r="I139" s="13">
        <v>21.6</v>
      </c>
      <c r="J139" s="13">
        <v>13</v>
      </c>
      <c r="K139" s="13">
        <v>8.6999999999999993</v>
      </c>
      <c r="L139" s="13">
        <v>4.8</v>
      </c>
      <c r="M139" s="13">
        <v>0.3</v>
      </c>
      <c r="N139" s="14">
        <v>10.1</v>
      </c>
      <c r="O139" s="2">
        <f>AVERAGE(S179:S183)</f>
        <v>12.32</v>
      </c>
      <c r="P139" s="4">
        <f t="shared" si="14"/>
        <v>1.9666666666666668</v>
      </c>
      <c r="Q139" s="4">
        <f t="shared" si="15"/>
        <v>10.466666666666667</v>
      </c>
      <c r="R139" s="4">
        <f t="shared" si="16"/>
        <v>20</v>
      </c>
      <c r="S139" s="4">
        <f t="shared" si="17"/>
        <v>8.8333333333333339</v>
      </c>
    </row>
    <row r="140" spans="1:19" x14ac:dyDescent="0.2">
      <c r="A140" s="11">
        <v>1972</v>
      </c>
      <c r="B140" s="12">
        <v>0.4</v>
      </c>
      <c r="C140" s="12">
        <v>5.2</v>
      </c>
      <c r="D140" s="12">
        <v>8.5</v>
      </c>
      <c r="E140" s="12">
        <v>11.2</v>
      </c>
      <c r="F140" s="12">
        <v>14.8</v>
      </c>
      <c r="G140" s="12">
        <v>19.600000000000001</v>
      </c>
      <c r="H140" s="12">
        <v>19.600000000000001</v>
      </c>
      <c r="I140" s="12">
        <v>17.600000000000001</v>
      </c>
      <c r="J140" s="12">
        <v>12.7</v>
      </c>
      <c r="K140" s="12">
        <v>8</v>
      </c>
      <c r="L140" s="12">
        <v>5</v>
      </c>
      <c r="M140" s="12">
        <v>0</v>
      </c>
      <c r="N140" s="14">
        <v>10.199999999999999</v>
      </c>
      <c r="P140" s="4">
        <f t="shared" si="14"/>
        <v>0.8666666666666667</v>
      </c>
      <c r="Q140" s="4">
        <f t="shared" si="15"/>
        <v>11.5</v>
      </c>
      <c r="R140" s="4">
        <f t="shared" si="16"/>
        <v>18.933333333333334</v>
      </c>
      <c r="S140" s="4">
        <f t="shared" si="17"/>
        <v>8.5666666666666664</v>
      </c>
    </row>
    <row r="141" spans="1:19" x14ac:dyDescent="0.2">
      <c r="A141" s="11">
        <v>1973</v>
      </c>
      <c r="B141" s="12">
        <v>0.4</v>
      </c>
      <c r="C141" s="12">
        <v>2.2000000000000002</v>
      </c>
      <c r="D141" s="12">
        <v>4.0999999999999996</v>
      </c>
      <c r="E141" s="12">
        <v>8.5</v>
      </c>
      <c r="F141" s="12">
        <v>16.3</v>
      </c>
      <c r="G141" s="13">
        <v>18.5</v>
      </c>
      <c r="H141" s="13">
        <v>19.899999999999999</v>
      </c>
      <c r="I141" s="13">
        <v>18.8</v>
      </c>
      <c r="J141" s="13">
        <v>16.399999999999999</v>
      </c>
      <c r="K141" s="13">
        <v>9.6999999999999993</v>
      </c>
      <c r="L141" s="13">
        <v>2.7</v>
      </c>
      <c r="M141" s="13">
        <v>0</v>
      </c>
      <c r="N141" s="14">
        <v>9.8000000000000007</v>
      </c>
      <c r="P141" s="4">
        <f t="shared" si="14"/>
        <v>2.2000000000000002</v>
      </c>
      <c r="Q141" s="4">
        <f t="shared" si="15"/>
        <v>9.6333333333333329</v>
      </c>
      <c r="R141" s="4">
        <f t="shared" si="16"/>
        <v>19.066666666666666</v>
      </c>
      <c r="S141" s="4">
        <f t="shared" si="17"/>
        <v>9.6</v>
      </c>
    </row>
    <row r="142" spans="1:19" x14ac:dyDescent="0.2">
      <c r="A142" s="11">
        <v>1974</v>
      </c>
      <c r="B142" s="12">
        <v>1.7</v>
      </c>
      <c r="C142" s="12">
        <v>4.9000000000000004</v>
      </c>
      <c r="D142" s="12">
        <v>8.1999999999999993</v>
      </c>
      <c r="E142" s="12">
        <v>8.6</v>
      </c>
      <c r="F142" s="12">
        <v>13.2</v>
      </c>
      <c r="G142" s="13">
        <v>17</v>
      </c>
      <c r="H142" s="13">
        <v>19</v>
      </c>
      <c r="I142" s="13">
        <v>19.8</v>
      </c>
      <c r="J142" s="13">
        <v>16.5</v>
      </c>
      <c r="K142" s="13">
        <v>7.2</v>
      </c>
      <c r="L142" s="13">
        <v>4.3</v>
      </c>
      <c r="M142" s="13">
        <v>0.7</v>
      </c>
      <c r="N142" s="14">
        <v>10.1</v>
      </c>
      <c r="P142" s="4">
        <f t="shared" si="14"/>
        <v>0.33333333333333331</v>
      </c>
      <c r="Q142" s="4">
        <f t="shared" si="15"/>
        <v>9.9999999999999982</v>
      </c>
      <c r="R142" s="4">
        <f t="shared" si="16"/>
        <v>18.599999999999998</v>
      </c>
      <c r="S142" s="4">
        <f t="shared" si="17"/>
        <v>9.3333333333333339</v>
      </c>
    </row>
    <row r="143" spans="1:19" x14ac:dyDescent="0.2">
      <c r="A143" s="11">
        <v>1975</v>
      </c>
      <c r="B143" s="12">
        <v>-0.5</v>
      </c>
      <c r="C143" s="12">
        <v>0.8</v>
      </c>
      <c r="D143" s="12">
        <v>7.9</v>
      </c>
      <c r="E143" s="12">
        <v>10.4</v>
      </c>
      <c r="F143" s="12">
        <v>15.7</v>
      </c>
      <c r="G143" s="13">
        <v>17.3</v>
      </c>
      <c r="H143" s="13">
        <v>19.399999999999999</v>
      </c>
      <c r="I143" s="13">
        <v>18.100000000000001</v>
      </c>
      <c r="J143" s="13">
        <v>17.600000000000001</v>
      </c>
      <c r="K143" s="13">
        <v>10.199999999999999</v>
      </c>
      <c r="L143" s="13">
        <v>4.2</v>
      </c>
      <c r="M143" s="13">
        <v>1.6</v>
      </c>
      <c r="N143" s="14">
        <v>10.199999999999999</v>
      </c>
      <c r="P143" s="4">
        <f t="shared" si="14"/>
        <v>0.5</v>
      </c>
      <c r="Q143" s="4">
        <f t="shared" si="15"/>
        <v>11.333333333333334</v>
      </c>
      <c r="R143" s="4">
        <f t="shared" si="16"/>
        <v>18.266666666666669</v>
      </c>
      <c r="S143" s="4">
        <f t="shared" si="17"/>
        <v>10.666666666666666</v>
      </c>
    </row>
    <row r="144" spans="1:19" x14ac:dyDescent="0.2">
      <c r="A144" s="11">
        <v>1976</v>
      </c>
      <c r="B144" s="12">
        <v>-0.7</v>
      </c>
      <c r="C144" s="12">
        <v>0.6</v>
      </c>
      <c r="D144" s="12">
        <v>2.9</v>
      </c>
      <c r="E144" s="12">
        <v>9.6</v>
      </c>
      <c r="F144" s="12">
        <v>14.4</v>
      </c>
      <c r="G144" s="13">
        <v>16.600000000000001</v>
      </c>
      <c r="H144" s="13">
        <v>19.3</v>
      </c>
      <c r="I144" s="13">
        <v>16.3</v>
      </c>
      <c r="J144" s="13">
        <v>13.8</v>
      </c>
      <c r="K144" s="13">
        <v>11.9</v>
      </c>
      <c r="L144" s="13">
        <v>6.1</v>
      </c>
      <c r="M144" s="13">
        <v>1.6</v>
      </c>
      <c r="N144" s="14">
        <v>9.4</v>
      </c>
      <c r="P144" s="4">
        <f t="shared" si="14"/>
        <v>3.8000000000000003</v>
      </c>
      <c r="Q144" s="4">
        <f t="shared" si="15"/>
        <v>8.9666666666666668</v>
      </c>
      <c r="R144" s="4">
        <f t="shared" si="16"/>
        <v>17.400000000000002</v>
      </c>
      <c r="S144" s="4">
        <f t="shared" si="17"/>
        <v>10.600000000000001</v>
      </c>
    </row>
    <row r="145" spans="1:19" x14ac:dyDescent="0.2">
      <c r="A145" s="11">
        <v>1977</v>
      </c>
      <c r="B145" s="12">
        <v>3.4</v>
      </c>
      <c r="C145" s="12">
        <v>6.4</v>
      </c>
      <c r="D145" s="12">
        <v>9.1999999999999993</v>
      </c>
      <c r="E145" s="12">
        <v>10</v>
      </c>
      <c r="F145" s="12">
        <v>15.4</v>
      </c>
      <c r="G145" s="13">
        <v>17.8</v>
      </c>
      <c r="H145" s="13">
        <v>19.600000000000001</v>
      </c>
      <c r="I145" s="13">
        <v>18.8</v>
      </c>
      <c r="J145" s="13">
        <v>13.2</v>
      </c>
      <c r="K145" s="13">
        <v>11.1</v>
      </c>
      <c r="L145" s="13">
        <v>6.1</v>
      </c>
      <c r="M145" s="13">
        <v>-1.5</v>
      </c>
      <c r="N145" s="14">
        <v>10.8</v>
      </c>
      <c r="P145" s="4">
        <f t="shared" si="14"/>
        <v>0.3</v>
      </c>
      <c r="Q145" s="4">
        <f t="shared" si="15"/>
        <v>11.533333333333333</v>
      </c>
      <c r="R145" s="4">
        <f t="shared" si="16"/>
        <v>18.733333333333334</v>
      </c>
      <c r="S145" s="4">
        <f t="shared" si="17"/>
        <v>10.133333333333333</v>
      </c>
    </row>
    <row r="146" spans="1:19" x14ac:dyDescent="0.2">
      <c r="A146" s="11">
        <v>1978</v>
      </c>
      <c r="B146" s="12">
        <v>0.6</v>
      </c>
      <c r="C146" s="12">
        <v>1.8</v>
      </c>
      <c r="D146" s="12">
        <v>6.9</v>
      </c>
      <c r="E146" s="12">
        <v>9.6999999999999993</v>
      </c>
      <c r="F146" s="12">
        <v>12.8</v>
      </c>
      <c r="G146" s="13">
        <v>17</v>
      </c>
      <c r="H146" s="13">
        <v>18.600000000000001</v>
      </c>
      <c r="I146" s="13">
        <v>18.3</v>
      </c>
      <c r="J146" s="13">
        <v>13.5</v>
      </c>
      <c r="K146" s="13">
        <v>10.3</v>
      </c>
      <c r="L146" s="13">
        <v>1.9</v>
      </c>
      <c r="M146" s="13">
        <v>1.8</v>
      </c>
      <c r="N146" s="14">
        <v>9.4</v>
      </c>
      <c r="P146" s="4">
        <f t="shared" si="14"/>
        <v>1.5</v>
      </c>
      <c r="Q146" s="4">
        <f t="shared" si="15"/>
        <v>9.8000000000000007</v>
      </c>
      <c r="R146" s="4">
        <f t="shared" si="16"/>
        <v>17.966666666666669</v>
      </c>
      <c r="S146" s="4">
        <f t="shared" si="17"/>
        <v>8.5666666666666664</v>
      </c>
    </row>
    <row r="147" spans="1:19" x14ac:dyDescent="0.2">
      <c r="A147" s="11">
        <v>1979</v>
      </c>
      <c r="B147" s="12">
        <v>-1</v>
      </c>
      <c r="C147" s="12">
        <v>3.7</v>
      </c>
      <c r="D147" s="12">
        <v>8.3000000000000007</v>
      </c>
      <c r="E147" s="12">
        <v>9</v>
      </c>
      <c r="F147" s="12">
        <v>14.9</v>
      </c>
      <c r="G147" s="13">
        <v>19.3</v>
      </c>
      <c r="H147" s="13">
        <v>18.399999999999999</v>
      </c>
      <c r="I147" s="13">
        <v>18.3</v>
      </c>
      <c r="J147" s="13">
        <v>15.2</v>
      </c>
      <c r="K147" s="13">
        <v>10.1</v>
      </c>
      <c r="L147" s="13">
        <v>5.9</v>
      </c>
      <c r="M147" s="13">
        <v>4</v>
      </c>
      <c r="N147" s="14">
        <v>10.5</v>
      </c>
      <c r="P147" s="4">
        <f t="shared" si="14"/>
        <v>1.6333333333333335</v>
      </c>
      <c r="Q147" s="4">
        <f t="shared" si="15"/>
        <v>10.733333333333334</v>
      </c>
      <c r="R147" s="4">
        <f t="shared" si="16"/>
        <v>18.666666666666668</v>
      </c>
      <c r="S147" s="4">
        <f t="shared" si="17"/>
        <v>10.399999999999999</v>
      </c>
    </row>
    <row r="148" spans="1:19" x14ac:dyDescent="0.2">
      <c r="A148" s="11">
        <v>1980</v>
      </c>
      <c r="B148" s="12">
        <v>-1.8</v>
      </c>
      <c r="C148" s="12">
        <v>2.7</v>
      </c>
      <c r="D148" s="12">
        <v>6</v>
      </c>
      <c r="E148" s="12">
        <v>7.4</v>
      </c>
      <c r="F148" s="12">
        <v>12.1</v>
      </c>
      <c r="G148" s="13">
        <v>17.7</v>
      </c>
      <c r="H148" s="13">
        <v>18.899999999999999</v>
      </c>
      <c r="I148" s="13">
        <v>19.2</v>
      </c>
      <c r="J148" s="13">
        <v>15.6</v>
      </c>
      <c r="K148" s="13">
        <v>11</v>
      </c>
      <c r="L148" s="13">
        <v>4.7</v>
      </c>
      <c r="M148" s="13">
        <v>-1.9</v>
      </c>
      <c r="N148" s="14">
        <v>9.3000000000000007</v>
      </c>
      <c r="P148" s="4">
        <f t="shared" si="14"/>
        <v>-1.6333333333333331</v>
      </c>
      <c r="Q148" s="4">
        <f t="shared" si="15"/>
        <v>8.5</v>
      </c>
      <c r="R148" s="4">
        <f t="shared" si="16"/>
        <v>18.599999999999998</v>
      </c>
      <c r="S148" s="4">
        <f t="shared" si="17"/>
        <v>10.433333333333334</v>
      </c>
    </row>
    <row r="149" spans="1:19" x14ac:dyDescent="0.2">
      <c r="A149" s="11">
        <v>1981</v>
      </c>
      <c r="B149" s="12">
        <v>-3.2</v>
      </c>
      <c r="C149" s="12">
        <v>0.2</v>
      </c>
      <c r="D149" s="12">
        <v>8.5</v>
      </c>
      <c r="E149" s="12">
        <v>10.6</v>
      </c>
      <c r="F149" s="12">
        <v>14.9</v>
      </c>
      <c r="G149" s="13">
        <v>18.600000000000001</v>
      </c>
      <c r="H149" s="13">
        <v>18.7</v>
      </c>
      <c r="I149" s="13">
        <v>19.3</v>
      </c>
      <c r="J149" s="13">
        <v>16</v>
      </c>
      <c r="K149" s="13">
        <v>12.4</v>
      </c>
      <c r="L149" s="13">
        <v>2.4</v>
      </c>
      <c r="M149" s="13">
        <v>1.7</v>
      </c>
      <c r="N149" s="14">
        <v>10</v>
      </c>
      <c r="P149" s="4">
        <f t="shared" si="14"/>
        <v>0.26666666666666661</v>
      </c>
      <c r="Q149" s="4">
        <f t="shared" si="15"/>
        <v>11.333333333333334</v>
      </c>
      <c r="R149" s="4">
        <f t="shared" si="16"/>
        <v>18.866666666666664</v>
      </c>
      <c r="S149" s="4">
        <f t="shared" si="17"/>
        <v>10.266666666666666</v>
      </c>
    </row>
    <row r="150" spans="1:19" x14ac:dyDescent="0.2">
      <c r="A150" s="11">
        <v>1982</v>
      </c>
      <c r="B150" s="12">
        <v>-1.1000000000000001</v>
      </c>
      <c r="C150" s="12">
        <v>0.2</v>
      </c>
      <c r="D150" s="12">
        <v>4.8</v>
      </c>
      <c r="E150" s="12">
        <v>7.6</v>
      </c>
      <c r="F150" s="12">
        <v>16.2</v>
      </c>
      <c r="G150" s="13">
        <v>19.2</v>
      </c>
      <c r="H150" s="13">
        <v>20.3</v>
      </c>
      <c r="I150" s="13">
        <v>19.600000000000001</v>
      </c>
      <c r="J150" s="13">
        <v>18.600000000000001</v>
      </c>
      <c r="K150" s="13">
        <v>12.1</v>
      </c>
      <c r="L150" s="13">
        <v>4.2</v>
      </c>
      <c r="M150" s="13">
        <v>4.7</v>
      </c>
      <c r="N150" s="14">
        <v>10.5</v>
      </c>
      <c r="O150" s="4"/>
      <c r="P150" s="4">
        <f t="shared" si="14"/>
        <v>1.9666666666666668</v>
      </c>
      <c r="Q150" s="4">
        <f t="shared" si="15"/>
        <v>9.5333333333333332</v>
      </c>
      <c r="R150" s="4">
        <f t="shared" si="16"/>
        <v>19.7</v>
      </c>
      <c r="S150" s="4">
        <f t="shared" si="17"/>
        <v>11.633333333333335</v>
      </c>
    </row>
    <row r="151" spans="1:19" x14ac:dyDescent="0.2">
      <c r="A151" s="11">
        <v>1983</v>
      </c>
      <c r="B151" s="12">
        <v>1.1000000000000001</v>
      </c>
      <c r="C151" s="12">
        <v>0.1</v>
      </c>
      <c r="D151" s="12">
        <v>6.9</v>
      </c>
      <c r="E151" s="12">
        <v>12.9</v>
      </c>
      <c r="F151" s="12">
        <v>17.100000000000001</v>
      </c>
      <c r="G151" s="13">
        <v>17.5</v>
      </c>
      <c r="H151" s="13">
        <v>20.7</v>
      </c>
      <c r="I151" s="13">
        <v>19.2</v>
      </c>
      <c r="J151" s="13">
        <v>15.3</v>
      </c>
      <c r="K151" s="13">
        <v>9.9</v>
      </c>
      <c r="L151" s="13">
        <v>2.7</v>
      </c>
      <c r="M151" s="13">
        <v>0.4</v>
      </c>
      <c r="N151" s="14">
        <v>10.3</v>
      </c>
      <c r="P151" s="4">
        <f t="shared" si="14"/>
        <v>0.6333333333333333</v>
      </c>
      <c r="Q151" s="4">
        <f t="shared" si="15"/>
        <v>12.300000000000002</v>
      </c>
      <c r="R151" s="4">
        <f t="shared" si="16"/>
        <v>19.133333333333336</v>
      </c>
      <c r="S151" s="4">
        <f t="shared" si="17"/>
        <v>9.3000000000000007</v>
      </c>
    </row>
    <row r="152" spans="1:19" x14ac:dyDescent="0.2">
      <c r="A152" s="11">
        <v>1984</v>
      </c>
      <c r="B152" s="12">
        <v>0.6</v>
      </c>
      <c r="C152" s="12">
        <v>0.9</v>
      </c>
      <c r="D152" s="12">
        <v>4.4000000000000004</v>
      </c>
      <c r="E152" s="12">
        <v>9</v>
      </c>
      <c r="F152" s="12">
        <v>14.5</v>
      </c>
      <c r="G152" s="13">
        <v>16.8</v>
      </c>
      <c r="H152" s="13">
        <v>17.899999999999999</v>
      </c>
      <c r="I152" s="13">
        <v>17.8</v>
      </c>
      <c r="J152" s="13">
        <v>15.2</v>
      </c>
      <c r="K152" s="13">
        <v>12.3</v>
      </c>
      <c r="L152" s="13">
        <v>5.9</v>
      </c>
      <c r="M152" s="13">
        <v>0.8</v>
      </c>
      <c r="N152" s="14">
        <v>9.6999999999999993</v>
      </c>
      <c r="P152" s="4">
        <f t="shared" si="14"/>
        <v>-2</v>
      </c>
      <c r="Q152" s="4">
        <f t="shared" si="15"/>
        <v>9.2999999999999989</v>
      </c>
      <c r="R152" s="4">
        <f t="shared" si="16"/>
        <v>17.5</v>
      </c>
      <c r="S152" s="4">
        <f t="shared" si="17"/>
        <v>11.133333333333333</v>
      </c>
    </row>
    <row r="153" spans="1:19" x14ac:dyDescent="0.2">
      <c r="A153" s="11">
        <v>1985</v>
      </c>
      <c r="B153" s="12">
        <v>-4.8</v>
      </c>
      <c r="C153" s="12">
        <v>-2</v>
      </c>
      <c r="D153" s="12">
        <v>5.8</v>
      </c>
      <c r="E153" s="12">
        <v>10.5</v>
      </c>
      <c r="F153" s="12">
        <v>16.5</v>
      </c>
      <c r="G153" s="13">
        <v>16.3</v>
      </c>
      <c r="H153" s="13">
        <v>20</v>
      </c>
      <c r="I153" s="13">
        <v>19.899999999999999</v>
      </c>
      <c r="J153" s="13">
        <v>15.4</v>
      </c>
      <c r="K153" s="13">
        <v>9.6</v>
      </c>
      <c r="L153" s="13">
        <v>4.5999999999999996</v>
      </c>
      <c r="M153" s="13">
        <v>2.2999999999999998</v>
      </c>
      <c r="N153" s="14">
        <v>9.5</v>
      </c>
      <c r="P153" s="4">
        <f t="shared" si="14"/>
        <v>0.76666666666666661</v>
      </c>
      <c r="Q153" s="4">
        <f t="shared" si="15"/>
        <v>10.933333333333332</v>
      </c>
      <c r="R153" s="4">
        <f t="shared" si="16"/>
        <v>18.733333333333331</v>
      </c>
      <c r="S153" s="4">
        <f t="shared" si="17"/>
        <v>9.8666666666666671</v>
      </c>
    </row>
    <row r="154" spans="1:19" x14ac:dyDescent="0.2">
      <c r="A154" s="11">
        <v>1986</v>
      </c>
      <c r="B154" s="12">
        <v>1.1000000000000001</v>
      </c>
      <c r="C154" s="12">
        <v>-1.1000000000000001</v>
      </c>
      <c r="D154" s="12">
        <v>5.6</v>
      </c>
      <c r="E154" s="12">
        <v>12</v>
      </c>
      <c r="F154" s="12">
        <v>16.7</v>
      </c>
      <c r="G154" s="13">
        <v>17.399999999999999</v>
      </c>
      <c r="H154" s="13">
        <v>18.5</v>
      </c>
      <c r="I154" s="13">
        <v>20.5</v>
      </c>
      <c r="J154" s="13">
        <v>15.5</v>
      </c>
      <c r="K154" s="13">
        <v>10.5</v>
      </c>
      <c r="L154" s="13">
        <v>4.7</v>
      </c>
      <c r="M154" s="13">
        <v>-1.5</v>
      </c>
      <c r="N154" s="14">
        <v>10</v>
      </c>
      <c r="P154" s="4">
        <f t="shared" si="14"/>
        <v>-0.33333333333333331</v>
      </c>
      <c r="Q154" s="4">
        <f t="shared" si="15"/>
        <v>11.433333333333332</v>
      </c>
      <c r="R154" s="4">
        <f t="shared" si="16"/>
        <v>18.8</v>
      </c>
      <c r="S154" s="4">
        <f t="shared" si="17"/>
        <v>10.233333333333333</v>
      </c>
    </row>
    <row r="155" spans="1:19" x14ac:dyDescent="0.2">
      <c r="A155" s="11">
        <v>1987</v>
      </c>
      <c r="B155" s="12">
        <v>-2.2999999999999998</v>
      </c>
      <c r="C155" s="12">
        <v>2.8</v>
      </c>
      <c r="D155" s="12">
        <v>1.2</v>
      </c>
      <c r="E155" s="12">
        <v>10.4</v>
      </c>
      <c r="F155" s="12">
        <v>13.6</v>
      </c>
      <c r="G155" s="13">
        <v>18.600000000000001</v>
      </c>
      <c r="H155" s="13">
        <v>22.6</v>
      </c>
      <c r="I155" s="13">
        <v>19.600000000000001</v>
      </c>
      <c r="J155" s="13">
        <v>19.8</v>
      </c>
      <c r="K155" s="13">
        <v>12.5</v>
      </c>
      <c r="L155" s="13">
        <v>6.9</v>
      </c>
      <c r="M155" s="13">
        <v>1.2</v>
      </c>
      <c r="N155" s="14">
        <v>10.6</v>
      </c>
      <c r="P155" s="4">
        <f t="shared" si="14"/>
        <v>2.5</v>
      </c>
      <c r="Q155" s="4">
        <f t="shared" si="15"/>
        <v>8.4</v>
      </c>
      <c r="R155" s="4">
        <f t="shared" si="16"/>
        <v>20.266666666666669</v>
      </c>
      <c r="S155" s="4">
        <f t="shared" si="17"/>
        <v>13.066666666666665</v>
      </c>
    </row>
    <row r="156" spans="1:19" x14ac:dyDescent="0.2">
      <c r="A156" s="11">
        <v>1988</v>
      </c>
      <c r="B156" s="12">
        <v>2.8</v>
      </c>
      <c r="C156" s="12">
        <v>3.5</v>
      </c>
      <c r="D156" s="12">
        <v>5.0999999999999996</v>
      </c>
      <c r="E156" s="12">
        <v>10.7</v>
      </c>
      <c r="F156" s="12">
        <v>16.100000000000001</v>
      </c>
      <c r="G156" s="13">
        <v>18</v>
      </c>
      <c r="H156" s="13">
        <v>23</v>
      </c>
      <c r="I156" s="13">
        <v>21.4</v>
      </c>
      <c r="J156" s="13">
        <v>16.100000000000001</v>
      </c>
      <c r="K156" s="13">
        <v>11.1</v>
      </c>
      <c r="L156" s="13">
        <v>0.7</v>
      </c>
      <c r="M156" s="13">
        <v>0.3</v>
      </c>
      <c r="N156" s="14">
        <v>10.7</v>
      </c>
      <c r="P156" s="4">
        <f t="shared" si="14"/>
        <v>1.0999999999999999</v>
      </c>
      <c r="Q156" s="4">
        <f t="shared" si="15"/>
        <v>10.633333333333333</v>
      </c>
      <c r="R156" s="4">
        <f t="shared" si="16"/>
        <v>20.8</v>
      </c>
      <c r="S156" s="4">
        <f t="shared" si="17"/>
        <v>9.3000000000000007</v>
      </c>
    </row>
    <row r="157" spans="1:19" x14ac:dyDescent="0.2">
      <c r="A157" s="11">
        <v>1989</v>
      </c>
      <c r="B157" s="12">
        <v>-0.9</v>
      </c>
      <c r="C157" s="12">
        <v>3.9</v>
      </c>
      <c r="D157" s="12">
        <v>9</v>
      </c>
      <c r="E157" s="12">
        <v>12.8</v>
      </c>
      <c r="F157" s="12">
        <v>13.7</v>
      </c>
      <c r="G157" s="13">
        <v>16.5</v>
      </c>
      <c r="H157" s="13">
        <v>20.399999999999999</v>
      </c>
      <c r="I157" s="13">
        <v>19.8</v>
      </c>
      <c r="J157" s="13">
        <v>16.100000000000001</v>
      </c>
      <c r="K157" s="13">
        <v>9.9</v>
      </c>
      <c r="L157" s="13">
        <v>4.7</v>
      </c>
      <c r="M157" s="13">
        <v>1.6</v>
      </c>
      <c r="N157" s="14">
        <v>10.6</v>
      </c>
      <c r="P157" s="4">
        <f t="shared" si="14"/>
        <v>2.1999999999999997</v>
      </c>
      <c r="Q157" s="4">
        <f t="shared" si="15"/>
        <v>11.833333333333334</v>
      </c>
      <c r="R157" s="4">
        <f t="shared" si="16"/>
        <v>18.900000000000002</v>
      </c>
      <c r="S157" s="4">
        <f t="shared" si="17"/>
        <v>10.233333333333333</v>
      </c>
    </row>
    <row r="158" spans="1:19" x14ac:dyDescent="0.2">
      <c r="A158" s="11">
        <v>1990</v>
      </c>
      <c r="B158" s="12">
        <v>-1</v>
      </c>
      <c r="C158" s="12">
        <v>6</v>
      </c>
      <c r="D158" s="12">
        <v>9.1999999999999993</v>
      </c>
      <c r="E158" s="12">
        <v>10.1</v>
      </c>
      <c r="F158" s="12">
        <v>15.5</v>
      </c>
      <c r="G158" s="13">
        <v>18.7</v>
      </c>
      <c r="H158" s="13">
        <v>20.100000000000001</v>
      </c>
      <c r="I158" s="13">
        <v>19.8</v>
      </c>
      <c r="J158" s="13">
        <v>14.4</v>
      </c>
      <c r="K158" s="13">
        <v>12.4</v>
      </c>
      <c r="L158" s="13">
        <v>7.5</v>
      </c>
      <c r="M158" s="13">
        <v>0.5</v>
      </c>
      <c r="N158" s="13">
        <v>11.1</v>
      </c>
      <c r="P158" s="4">
        <f t="shared" si="14"/>
        <v>-0.23438914027149305</v>
      </c>
      <c r="Q158" s="4">
        <f t="shared" si="15"/>
        <v>11.6</v>
      </c>
      <c r="R158" s="4">
        <f t="shared" si="16"/>
        <v>19.533333333333331</v>
      </c>
      <c r="S158" s="4">
        <f t="shared" si="17"/>
        <v>11.433333333333332</v>
      </c>
    </row>
    <row r="159" spans="1:19" x14ac:dyDescent="0.2">
      <c r="A159" s="11">
        <v>1991</v>
      </c>
      <c r="B159" s="12">
        <v>-0.76470588235294135</v>
      </c>
      <c r="C159" s="12">
        <v>-0.43846153846153779</v>
      </c>
      <c r="D159" s="12">
        <v>9.1596153846153818</v>
      </c>
      <c r="E159" s="12">
        <v>8.2907407407407394</v>
      </c>
      <c r="F159" s="12">
        <v>11.264814814814816</v>
      </c>
      <c r="G159" s="13">
        <v>19.51132075471698</v>
      </c>
      <c r="H159" s="13">
        <v>19.249056603773585</v>
      </c>
      <c r="I159" s="13">
        <v>18.830188679245282</v>
      </c>
      <c r="J159" s="13">
        <v>16.877358490566039</v>
      </c>
      <c r="K159" s="13">
        <v>9.7792452830188665</v>
      </c>
      <c r="L159" s="13">
        <v>6.2862745098039179</v>
      </c>
      <c r="M159" s="13">
        <v>-3.0823529411764703</v>
      </c>
      <c r="N159" s="13">
        <v>9.5802579082753887</v>
      </c>
      <c r="P159" s="4">
        <f t="shared" si="14"/>
        <v>-0.72745098039215683</v>
      </c>
      <c r="Q159" s="4">
        <f t="shared" si="15"/>
        <v>9.5717236467236457</v>
      </c>
      <c r="R159" s="4">
        <f t="shared" si="16"/>
        <v>19.196855345911949</v>
      </c>
      <c r="S159" s="4">
        <f t="shared" si="17"/>
        <v>10.980959427796273</v>
      </c>
    </row>
    <row r="160" spans="1:19" x14ac:dyDescent="0.2">
      <c r="A160" s="11">
        <v>1992</v>
      </c>
      <c r="B160" s="12">
        <v>-1.2</v>
      </c>
      <c r="C160" s="13">
        <v>2.1</v>
      </c>
      <c r="D160" s="13">
        <v>6.7</v>
      </c>
      <c r="E160" s="13">
        <v>11</v>
      </c>
      <c r="F160" s="13">
        <v>15</v>
      </c>
      <c r="G160" s="13">
        <v>18.399999999999999</v>
      </c>
      <c r="H160" s="13">
        <v>20.5</v>
      </c>
      <c r="I160" s="13">
        <v>23.2</v>
      </c>
      <c r="J160" s="13">
        <v>16.600000000000001</v>
      </c>
      <c r="K160" s="13">
        <v>12.1</v>
      </c>
      <c r="L160" s="13">
        <v>7.3862745098039175</v>
      </c>
      <c r="M160" s="13">
        <v>0.31764705882352939</v>
      </c>
      <c r="N160" s="13">
        <v>11.008660130718953</v>
      </c>
      <c r="P160" s="4">
        <f t="shared" si="14"/>
        <v>-0.36184012066364984</v>
      </c>
      <c r="Q160" s="4">
        <f t="shared" si="15"/>
        <v>10.9</v>
      </c>
      <c r="R160" s="4">
        <f t="shared" si="16"/>
        <v>20.7</v>
      </c>
      <c r="S160" s="4">
        <f t="shared" si="17"/>
        <v>12.02875816993464</v>
      </c>
    </row>
    <row r="161" spans="1:19" x14ac:dyDescent="0.2">
      <c r="A161" s="16">
        <v>1993</v>
      </c>
      <c r="B161" s="13">
        <v>-0.56470588235294117</v>
      </c>
      <c r="C161" s="13">
        <v>-0.8384615384615377</v>
      </c>
      <c r="D161" s="13">
        <v>4.2596153846153832</v>
      </c>
      <c r="E161" s="13">
        <v>11.4</v>
      </c>
      <c r="F161" s="13">
        <v>15.5</v>
      </c>
      <c r="G161" s="13">
        <v>19.111320754716981</v>
      </c>
      <c r="H161" s="13">
        <v>20.649056603773584</v>
      </c>
      <c r="I161" s="13">
        <v>20.730188679245281</v>
      </c>
      <c r="J161" s="13">
        <v>16.177358490566036</v>
      </c>
      <c r="K161" s="13">
        <v>13.879245283018866</v>
      </c>
      <c r="L161" s="13">
        <v>3.0862745098039177</v>
      </c>
      <c r="M161" s="13">
        <v>3.8176470588235296</v>
      </c>
      <c r="N161" s="13">
        <v>10.600628278645756</v>
      </c>
      <c r="O161" s="17"/>
      <c r="P161" s="18">
        <f t="shared" si="14"/>
        <v>2.6381598793363499</v>
      </c>
      <c r="Q161" s="18">
        <f t="shared" si="15"/>
        <v>10.386538461538462</v>
      </c>
      <c r="R161" s="18">
        <f t="shared" si="16"/>
        <v>20.163522012578614</v>
      </c>
      <c r="S161" s="18">
        <f t="shared" si="17"/>
        <v>11.047626094462942</v>
      </c>
    </row>
    <row r="162" spans="1:19" x14ac:dyDescent="0.2">
      <c r="A162" s="11">
        <v>1994</v>
      </c>
      <c r="B162" s="13">
        <v>2.2352941176470589</v>
      </c>
      <c r="C162" s="13">
        <v>1.8615384615384623</v>
      </c>
      <c r="D162" s="13">
        <v>9.6596153846153818</v>
      </c>
      <c r="E162" s="13">
        <v>10</v>
      </c>
      <c r="F162" s="13">
        <v>15.7</v>
      </c>
      <c r="G162" s="13">
        <v>18.399999999999999</v>
      </c>
      <c r="H162" s="13">
        <v>21</v>
      </c>
      <c r="I162" s="13">
        <v>21.4</v>
      </c>
      <c r="J162" s="13">
        <v>18.3</v>
      </c>
      <c r="K162" s="13">
        <v>9.8000000000000007</v>
      </c>
      <c r="L162" s="13">
        <v>6.8862745098039175</v>
      </c>
      <c r="M162" s="13">
        <v>1.2176470588235295</v>
      </c>
      <c r="N162" s="13">
        <v>11.371697461035694</v>
      </c>
      <c r="P162" s="4">
        <f t="shared" si="14"/>
        <v>2.050980392156863</v>
      </c>
      <c r="Q162" s="4">
        <f t="shared" si="15"/>
        <v>11.786538461538461</v>
      </c>
      <c r="R162" s="4">
        <f t="shared" si="16"/>
        <v>20.266666666666666</v>
      </c>
      <c r="S162" s="4">
        <f t="shared" si="17"/>
        <v>11.662091503267973</v>
      </c>
    </row>
    <row r="163" spans="1:19" x14ac:dyDescent="0.2">
      <c r="A163" s="11">
        <v>1995</v>
      </c>
      <c r="B163" s="13">
        <v>-0.76470588235294135</v>
      </c>
      <c r="C163" s="13">
        <v>5.7</v>
      </c>
      <c r="D163" s="13">
        <v>5.2</v>
      </c>
      <c r="E163" s="13">
        <v>10.4</v>
      </c>
      <c r="F163" s="13">
        <v>15</v>
      </c>
      <c r="G163" s="13">
        <v>18</v>
      </c>
      <c r="H163" s="13">
        <v>22.4</v>
      </c>
      <c r="I163" s="13">
        <v>18.7</v>
      </c>
      <c r="J163" s="13">
        <v>14.7</v>
      </c>
      <c r="K163" s="13">
        <v>11.9</v>
      </c>
      <c r="L163" s="13">
        <v>3</v>
      </c>
      <c r="M163" s="13">
        <v>2.5</v>
      </c>
      <c r="N163" s="13">
        <v>10.561274509803923</v>
      </c>
      <c r="P163" s="4">
        <f t="shared" si="14"/>
        <v>0.96666666666666667</v>
      </c>
      <c r="Q163" s="4">
        <f t="shared" si="15"/>
        <v>10.200000000000001</v>
      </c>
      <c r="R163" s="4">
        <f t="shared" si="16"/>
        <v>19.7</v>
      </c>
      <c r="S163" s="4">
        <f t="shared" si="17"/>
        <v>9.8666666666666671</v>
      </c>
    </row>
    <row r="164" spans="1:19" x14ac:dyDescent="0.2">
      <c r="A164" s="11">
        <v>1996</v>
      </c>
      <c r="B164" s="13">
        <v>0.9</v>
      </c>
      <c r="C164" s="13">
        <v>-0.5</v>
      </c>
      <c r="D164" s="13">
        <v>3.3</v>
      </c>
      <c r="E164" s="13">
        <v>11</v>
      </c>
      <c r="F164" s="13">
        <v>16.899999999999999</v>
      </c>
      <c r="G164" s="13">
        <v>19.899999999999999</v>
      </c>
      <c r="H164" s="13">
        <v>20</v>
      </c>
      <c r="I164" s="13">
        <v>20.2</v>
      </c>
      <c r="J164" s="13">
        <v>13.1</v>
      </c>
      <c r="K164" s="13">
        <v>11.3</v>
      </c>
      <c r="L164" s="13">
        <v>7.2</v>
      </c>
      <c r="M164" s="13">
        <v>-0.4</v>
      </c>
      <c r="N164" s="13">
        <v>10.199999999999999</v>
      </c>
      <c r="P164" s="4">
        <f t="shared" si="14"/>
        <v>1.1000000000000001</v>
      </c>
      <c r="Q164" s="4">
        <f t="shared" si="15"/>
        <v>10.4</v>
      </c>
      <c r="R164" s="4">
        <f t="shared" si="16"/>
        <v>20.033333333333331</v>
      </c>
      <c r="S164" s="4">
        <f t="shared" si="17"/>
        <v>10.533333333333333</v>
      </c>
    </row>
    <row r="165" spans="1:19" x14ac:dyDescent="0.2">
      <c r="A165" s="11">
        <v>1997</v>
      </c>
      <c r="B165" s="13">
        <v>0.5</v>
      </c>
      <c r="C165" s="13">
        <v>3.2</v>
      </c>
      <c r="D165" s="13">
        <v>5.6</v>
      </c>
      <c r="E165" s="13">
        <v>6.5</v>
      </c>
      <c r="F165" s="13">
        <v>16.2</v>
      </c>
      <c r="G165" s="13">
        <v>20.3</v>
      </c>
      <c r="H165" s="13">
        <v>19.600000000000001</v>
      </c>
      <c r="I165" s="13">
        <v>18.899999999999999</v>
      </c>
      <c r="J165" s="13">
        <v>15.6</v>
      </c>
      <c r="K165" s="13">
        <v>8.3000000000000007</v>
      </c>
      <c r="L165" s="13">
        <v>6.5</v>
      </c>
      <c r="M165" s="13">
        <v>3.2</v>
      </c>
      <c r="N165" s="13">
        <v>10.4</v>
      </c>
      <c r="P165" s="4">
        <f t="shared" si="14"/>
        <v>2.8000000000000003</v>
      </c>
      <c r="Q165" s="4">
        <f t="shared" si="15"/>
        <v>9.4333333333333318</v>
      </c>
      <c r="R165" s="4">
        <f t="shared" si="16"/>
        <v>19.600000000000001</v>
      </c>
      <c r="S165" s="4">
        <f t="shared" si="17"/>
        <v>10.133333333333333</v>
      </c>
    </row>
    <row r="166" spans="1:19" x14ac:dyDescent="0.2">
      <c r="A166" s="11">
        <v>1998</v>
      </c>
      <c r="B166" s="13">
        <v>1.5</v>
      </c>
      <c r="C166" s="13">
        <v>3.7</v>
      </c>
      <c r="D166" s="13">
        <v>4.5999999999999996</v>
      </c>
      <c r="E166" s="13">
        <v>12.1</v>
      </c>
      <c r="F166" s="13">
        <v>14.9</v>
      </c>
      <c r="G166" s="13">
        <v>20.3</v>
      </c>
      <c r="H166" s="13">
        <v>22.1</v>
      </c>
      <c r="I166" s="13">
        <v>21.2</v>
      </c>
      <c r="J166" s="13">
        <v>15.6</v>
      </c>
      <c r="K166" s="13">
        <v>11.9</v>
      </c>
      <c r="L166" s="13">
        <v>3.6</v>
      </c>
      <c r="M166" s="13">
        <v>-3</v>
      </c>
      <c r="N166" s="13">
        <v>10.7</v>
      </c>
      <c r="P166" s="4">
        <f t="shared" si="14"/>
        <v>-1.0666666666666667</v>
      </c>
      <c r="Q166" s="4">
        <f t="shared" si="15"/>
        <v>10.533333333333333</v>
      </c>
      <c r="R166" s="4">
        <f t="shared" si="16"/>
        <v>21.200000000000003</v>
      </c>
      <c r="S166" s="4">
        <f t="shared" si="17"/>
        <v>10.366666666666667</v>
      </c>
    </row>
    <row r="167" spans="1:19" x14ac:dyDescent="0.2">
      <c r="A167" s="11">
        <v>1999</v>
      </c>
      <c r="B167" s="13">
        <v>-0.6</v>
      </c>
      <c r="C167" s="13">
        <v>0.4</v>
      </c>
      <c r="D167" s="13">
        <v>7.6</v>
      </c>
      <c r="E167" s="13">
        <v>11.8</v>
      </c>
      <c r="F167" s="13">
        <v>16.7</v>
      </c>
      <c r="G167" s="13">
        <v>19.899999999999999</v>
      </c>
      <c r="H167" s="13">
        <v>20.7</v>
      </c>
      <c r="I167" s="13">
        <v>21.1</v>
      </c>
      <c r="J167" s="13">
        <v>17.7</v>
      </c>
      <c r="K167" s="13">
        <v>11.3</v>
      </c>
      <c r="L167" s="13">
        <v>4.5</v>
      </c>
      <c r="M167" s="13">
        <v>0.4</v>
      </c>
      <c r="N167" s="14">
        <v>11</v>
      </c>
      <c r="P167" s="4">
        <f t="shared" si="14"/>
        <v>-0.23333333333333339</v>
      </c>
      <c r="Q167" s="4">
        <f t="shared" si="15"/>
        <v>12.033333333333331</v>
      </c>
      <c r="R167" s="4">
        <f t="shared" si="16"/>
        <v>20.566666666666666</v>
      </c>
      <c r="S167" s="4">
        <f t="shared" si="17"/>
        <v>11.166666666666666</v>
      </c>
    </row>
    <row r="168" spans="1:19" x14ac:dyDescent="0.2">
      <c r="A168" s="11">
        <v>2000</v>
      </c>
      <c r="B168" s="13">
        <v>-3.2</v>
      </c>
      <c r="C168" s="13">
        <v>2.1</v>
      </c>
      <c r="D168" s="13">
        <v>6.4</v>
      </c>
      <c r="E168" s="13">
        <v>13.7</v>
      </c>
      <c r="F168" s="13">
        <v>17.3</v>
      </c>
      <c r="G168" s="13">
        <v>20.399999999999999</v>
      </c>
      <c r="H168" s="13">
        <v>21.5</v>
      </c>
      <c r="I168" s="13">
        <v>22.5</v>
      </c>
      <c r="J168" s="13">
        <v>15.8</v>
      </c>
      <c r="K168" s="13">
        <v>13</v>
      </c>
      <c r="L168" s="13">
        <v>9.9</v>
      </c>
      <c r="M168" s="13">
        <v>3</v>
      </c>
      <c r="N168" s="14">
        <v>11.9</v>
      </c>
      <c r="P168" s="4">
        <f t="shared" si="14"/>
        <v>3.4666666666666663</v>
      </c>
      <c r="Q168" s="4">
        <f t="shared" si="15"/>
        <v>12.466666666666669</v>
      </c>
      <c r="R168" s="4">
        <f t="shared" si="16"/>
        <v>21.466666666666669</v>
      </c>
      <c r="S168" s="4">
        <f t="shared" si="17"/>
        <v>12.9</v>
      </c>
    </row>
    <row r="169" spans="1:19" x14ac:dyDescent="0.2">
      <c r="A169" s="11">
        <v>2001</v>
      </c>
      <c r="B169" s="13">
        <v>3.6</v>
      </c>
      <c r="C169" s="13">
        <v>3.8</v>
      </c>
      <c r="D169" s="13">
        <v>10.7</v>
      </c>
      <c r="E169" s="13">
        <v>10.4</v>
      </c>
      <c r="F169" s="13">
        <v>16.5</v>
      </c>
      <c r="G169" s="13">
        <v>17.7</v>
      </c>
      <c r="H169" s="13">
        <v>21</v>
      </c>
      <c r="I169" s="13">
        <v>21.4</v>
      </c>
      <c r="J169" s="13">
        <v>13.8</v>
      </c>
      <c r="K169" s="13">
        <v>13.2</v>
      </c>
      <c r="L169" s="13">
        <v>3.3</v>
      </c>
      <c r="M169" s="13">
        <v>-2.6</v>
      </c>
      <c r="N169" s="14">
        <v>11.1</v>
      </c>
      <c r="P169" s="4">
        <f t="shared" si="14"/>
        <v>0.40000000000000008</v>
      </c>
      <c r="Q169" s="4">
        <f t="shared" si="15"/>
        <v>12.533333333333333</v>
      </c>
      <c r="R169" s="4">
        <f t="shared" si="16"/>
        <v>20.033333333333335</v>
      </c>
      <c r="S169" s="4">
        <f t="shared" si="17"/>
        <v>10.1</v>
      </c>
    </row>
    <row r="170" spans="1:19" x14ac:dyDescent="0.2">
      <c r="A170" s="11">
        <v>2002</v>
      </c>
      <c r="B170" s="13">
        <v>-1.9</v>
      </c>
      <c r="C170" s="13">
        <v>5.7</v>
      </c>
      <c r="D170" s="13">
        <v>9.1</v>
      </c>
      <c r="E170" s="13">
        <v>10.6</v>
      </c>
      <c r="F170" s="13">
        <v>17.100000000000001</v>
      </c>
      <c r="G170" s="13">
        <v>20.5</v>
      </c>
      <c r="H170" s="13">
        <v>21.8</v>
      </c>
      <c r="I170" s="13">
        <v>20</v>
      </c>
      <c r="J170" s="13">
        <v>14.8</v>
      </c>
      <c r="K170" s="13">
        <v>11.7</v>
      </c>
      <c r="L170" s="13">
        <v>10.1</v>
      </c>
      <c r="M170" s="13">
        <v>2.7</v>
      </c>
      <c r="N170" s="14">
        <v>11.9</v>
      </c>
      <c r="P170" s="4">
        <f t="shared" si="14"/>
        <v>0.26666666666666677</v>
      </c>
      <c r="Q170" s="4">
        <f t="shared" si="15"/>
        <v>12.266666666666666</v>
      </c>
      <c r="R170" s="4">
        <f t="shared" si="16"/>
        <v>20.766666666666666</v>
      </c>
      <c r="S170" s="4">
        <f t="shared" si="17"/>
        <v>12.200000000000001</v>
      </c>
    </row>
    <row r="171" spans="1:19" x14ac:dyDescent="0.2">
      <c r="A171" s="11">
        <v>2003</v>
      </c>
      <c r="B171" s="13">
        <v>-0.3</v>
      </c>
      <c r="C171" s="13">
        <v>-1.6</v>
      </c>
      <c r="D171" s="13">
        <v>6</v>
      </c>
      <c r="E171" s="13">
        <v>10.199999999999999</v>
      </c>
      <c r="F171" s="13">
        <v>18.100000000000001</v>
      </c>
      <c r="G171" s="13">
        <v>22.7</v>
      </c>
      <c r="H171" s="13">
        <v>22.1</v>
      </c>
      <c r="I171" s="13">
        <v>23.8</v>
      </c>
      <c r="J171" s="13">
        <v>15.3</v>
      </c>
      <c r="K171" s="13">
        <v>9.5</v>
      </c>
      <c r="L171" s="13">
        <v>7.6</v>
      </c>
      <c r="M171" s="13">
        <v>0.3</v>
      </c>
      <c r="N171" s="14">
        <v>11.1</v>
      </c>
      <c r="P171" s="4">
        <f t="shared" si="14"/>
        <v>0.6333333333333333</v>
      </c>
      <c r="Q171" s="4">
        <f t="shared" si="15"/>
        <v>11.433333333333332</v>
      </c>
      <c r="R171" s="4">
        <f t="shared" si="16"/>
        <v>22.866666666666664</v>
      </c>
      <c r="S171" s="4">
        <f t="shared" si="17"/>
        <v>10.799999999999999</v>
      </c>
    </row>
    <row r="172" spans="1:19" x14ac:dyDescent="0.2">
      <c r="A172" s="11">
        <v>2004</v>
      </c>
      <c r="B172" s="13">
        <v>-0.3</v>
      </c>
      <c r="C172" s="13">
        <v>1.9</v>
      </c>
      <c r="D172" s="13">
        <v>5.9</v>
      </c>
      <c r="E172" s="13">
        <v>11.9</v>
      </c>
      <c r="F172" s="13">
        <v>13.8</v>
      </c>
      <c r="G172" s="13">
        <v>19.2</v>
      </c>
      <c r="H172" s="13">
        <v>21.6</v>
      </c>
      <c r="I172" s="13">
        <v>20.5</v>
      </c>
      <c r="J172" s="13">
        <v>16</v>
      </c>
      <c r="K172" s="13">
        <v>14</v>
      </c>
      <c r="L172" s="13">
        <v>5.0999999999999996</v>
      </c>
      <c r="M172" s="13">
        <v>2.4</v>
      </c>
      <c r="N172" s="14">
        <v>11</v>
      </c>
      <c r="P172" s="4">
        <f t="shared" si="14"/>
        <v>3.3333333333333291E-2</v>
      </c>
      <c r="Q172" s="4">
        <f t="shared" si="15"/>
        <v>10.533333333333333</v>
      </c>
      <c r="R172" s="4">
        <f t="shared" si="16"/>
        <v>20.433333333333334</v>
      </c>
      <c r="S172" s="4">
        <f t="shared" si="17"/>
        <v>11.700000000000001</v>
      </c>
    </row>
    <row r="173" spans="1:19" x14ac:dyDescent="0.2">
      <c r="A173" s="11">
        <v>2005</v>
      </c>
      <c r="B173" s="13">
        <v>-0.6</v>
      </c>
      <c r="C173" s="13">
        <v>-1.7</v>
      </c>
      <c r="D173" s="13">
        <v>4.0999999999999996</v>
      </c>
      <c r="E173" s="13">
        <v>11.1</v>
      </c>
      <c r="F173" s="13">
        <v>16.100000000000001</v>
      </c>
      <c r="G173" s="13">
        <v>18.5</v>
      </c>
      <c r="H173" s="13">
        <v>20.9</v>
      </c>
      <c r="I173" s="14">
        <v>19.100000000000001</v>
      </c>
      <c r="J173" s="14">
        <v>16.899999999999999</v>
      </c>
      <c r="K173" s="14">
        <v>12</v>
      </c>
      <c r="L173" s="13">
        <v>5.5</v>
      </c>
      <c r="M173" s="13">
        <v>1.2</v>
      </c>
      <c r="N173" s="14">
        <v>10.3</v>
      </c>
      <c r="P173" s="4">
        <f t="shared" si="14"/>
        <v>0.56666666666666665</v>
      </c>
      <c r="Q173" s="4">
        <f t="shared" si="15"/>
        <v>10.433333333333334</v>
      </c>
      <c r="R173" s="4">
        <f t="shared" si="16"/>
        <v>19.5</v>
      </c>
      <c r="S173" s="4">
        <f t="shared" si="17"/>
        <v>11.466666666666667</v>
      </c>
    </row>
    <row r="174" spans="1:19" x14ac:dyDescent="0.2">
      <c r="A174" s="11">
        <v>2006</v>
      </c>
      <c r="B174" s="13">
        <v>-1.1000000000000001</v>
      </c>
      <c r="C174" s="13">
        <v>1.6</v>
      </c>
      <c r="D174" s="13">
        <v>5.5</v>
      </c>
      <c r="E174" s="13">
        <v>12.2</v>
      </c>
      <c r="F174" s="13">
        <v>15.3</v>
      </c>
      <c r="G174" s="13">
        <v>18.399999999999999</v>
      </c>
      <c r="H174" s="13">
        <v>21.5</v>
      </c>
      <c r="I174" s="13">
        <v>18.399999999999999</v>
      </c>
      <c r="J174" s="13">
        <v>16.5</v>
      </c>
      <c r="K174" s="13">
        <v>12.5</v>
      </c>
      <c r="L174" s="13">
        <v>5.4</v>
      </c>
      <c r="M174" s="13">
        <v>1.8</v>
      </c>
      <c r="N174" s="14">
        <v>10.7</v>
      </c>
      <c r="P174" s="4">
        <f t="shared" si="14"/>
        <v>4.2</v>
      </c>
      <c r="Q174" s="4">
        <f t="shared" si="15"/>
        <v>11</v>
      </c>
      <c r="R174" s="4">
        <f t="shared" si="16"/>
        <v>19.433333333333334</v>
      </c>
      <c r="S174" s="4">
        <f t="shared" si="17"/>
        <v>11.466666666666667</v>
      </c>
    </row>
    <row r="175" spans="1:19" x14ac:dyDescent="0.2">
      <c r="A175" s="11">
        <v>2007</v>
      </c>
      <c r="B175" s="13">
        <v>4.3</v>
      </c>
      <c r="C175" s="13">
        <v>6.5</v>
      </c>
      <c r="D175" s="13">
        <v>8.6999999999999993</v>
      </c>
      <c r="E175" s="13">
        <v>12.9</v>
      </c>
      <c r="F175" s="13">
        <v>17</v>
      </c>
      <c r="G175" s="13">
        <v>20.9</v>
      </c>
      <c r="H175" s="13">
        <v>22.7</v>
      </c>
      <c r="I175" s="13">
        <v>21.3</v>
      </c>
      <c r="J175" s="13">
        <v>13.7</v>
      </c>
      <c r="K175" s="13">
        <v>9.6999999999999993</v>
      </c>
      <c r="L175" s="13">
        <v>2.9</v>
      </c>
      <c r="M175" s="13">
        <v>-0.4</v>
      </c>
      <c r="N175" s="14">
        <v>11.7</v>
      </c>
      <c r="P175" s="4">
        <f t="shared" si="14"/>
        <v>1.6333333333333335</v>
      </c>
      <c r="Q175" s="4">
        <f t="shared" si="15"/>
        <v>12.866666666666667</v>
      </c>
      <c r="R175" s="4">
        <f t="shared" si="16"/>
        <v>21.633333333333329</v>
      </c>
      <c r="S175" s="4">
        <f t="shared" si="17"/>
        <v>8.7666666666666657</v>
      </c>
    </row>
    <row r="176" spans="1:19" x14ac:dyDescent="0.2">
      <c r="A176" s="11">
        <v>2008</v>
      </c>
      <c r="B176" s="13">
        <v>1.1000000000000001</v>
      </c>
      <c r="C176" s="13">
        <v>4.2</v>
      </c>
      <c r="D176" s="13">
        <v>7</v>
      </c>
      <c r="E176" s="13">
        <v>11.6</v>
      </c>
      <c r="F176" s="13">
        <v>16.899999999999999</v>
      </c>
      <c r="G176" s="13">
        <v>20.6</v>
      </c>
      <c r="H176" s="13">
        <v>20.9</v>
      </c>
      <c r="I176" s="13">
        <v>20.9</v>
      </c>
      <c r="J176" s="13">
        <v>14.9</v>
      </c>
      <c r="K176" s="13">
        <v>12.5</v>
      </c>
      <c r="L176" s="13">
        <v>7</v>
      </c>
      <c r="M176" s="13">
        <v>3.4</v>
      </c>
      <c r="N176" s="14">
        <v>11.8</v>
      </c>
      <c r="P176" s="4">
        <f t="shared" si="14"/>
        <v>1.2666666666666666</v>
      </c>
      <c r="Q176" s="4">
        <f t="shared" si="15"/>
        <v>11.833333333333334</v>
      </c>
      <c r="R176" s="4">
        <f t="shared" si="16"/>
        <v>20.8</v>
      </c>
      <c r="S176" s="4">
        <f t="shared" si="17"/>
        <v>11.466666666666667</v>
      </c>
    </row>
    <row r="177" spans="1:19" x14ac:dyDescent="0.2">
      <c r="A177" s="11">
        <v>2009</v>
      </c>
      <c r="B177" s="13">
        <v>-1.3</v>
      </c>
      <c r="C177" s="13">
        <v>1.7</v>
      </c>
      <c r="D177" s="13">
        <v>5.7</v>
      </c>
      <c r="E177" s="13">
        <v>13.4</v>
      </c>
      <c r="F177" s="13">
        <v>18.100000000000001</v>
      </c>
      <c r="G177" s="13">
        <v>19.2</v>
      </c>
      <c r="H177" s="13">
        <v>21.5</v>
      </c>
      <c r="I177" s="13">
        <v>21.6</v>
      </c>
      <c r="J177" s="13">
        <v>17.3</v>
      </c>
      <c r="K177" s="13">
        <v>10.3</v>
      </c>
      <c r="L177" s="13">
        <v>7.2</v>
      </c>
      <c r="M177" s="13">
        <v>3.5</v>
      </c>
      <c r="N177" s="14">
        <v>11.5</v>
      </c>
      <c r="P177" s="4">
        <f t="shared" si="14"/>
        <v>2.2333333333333334</v>
      </c>
      <c r="Q177" s="4">
        <f t="shared" si="15"/>
        <v>12.4</v>
      </c>
      <c r="R177" s="4">
        <f t="shared" si="16"/>
        <v>20.766666666666669</v>
      </c>
      <c r="S177" s="4">
        <f t="shared" si="17"/>
        <v>11.600000000000001</v>
      </c>
    </row>
    <row r="178" spans="1:19" x14ac:dyDescent="0.2">
      <c r="A178" s="11">
        <v>2010</v>
      </c>
      <c r="B178" s="13">
        <v>0.9</v>
      </c>
      <c r="C178" s="13">
        <v>2.2999999999999998</v>
      </c>
      <c r="D178" s="13">
        <v>6.3</v>
      </c>
      <c r="E178" s="13">
        <v>11.2</v>
      </c>
      <c r="F178" s="13">
        <v>15.1</v>
      </c>
      <c r="G178" s="13">
        <v>19.3</v>
      </c>
      <c r="H178" s="13">
        <v>21.8</v>
      </c>
      <c r="I178" s="13">
        <v>21.7</v>
      </c>
      <c r="J178" s="13">
        <v>15.6</v>
      </c>
      <c r="K178" s="13">
        <v>9.1999999999999993</v>
      </c>
      <c r="L178" s="13">
        <v>9</v>
      </c>
      <c r="M178" s="14">
        <v>1.2</v>
      </c>
      <c r="N178" s="14">
        <v>11.1</v>
      </c>
      <c r="P178" s="4">
        <f t="shared" si="14"/>
        <v>1.0666666666666667</v>
      </c>
      <c r="Q178" s="4">
        <f t="shared" si="15"/>
        <v>10.866666666666667</v>
      </c>
      <c r="R178" s="4">
        <f t="shared" si="16"/>
        <v>20.933333333333334</v>
      </c>
      <c r="S178" s="4">
        <f t="shared" si="17"/>
        <v>11.266666666666666</v>
      </c>
    </row>
    <row r="179" spans="1:19" x14ac:dyDescent="0.2">
      <c r="A179" s="11">
        <v>2011</v>
      </c>
      <c r="B179" s="13">
        <v>0.4</v>
      </c>
      <c r="C179" s="13">
        <v>1.6</v>
      </c>
      <c r="D179" s="13">
        <v>6.2</v>
      </c>
      <c r="E179" s="13">
        <v>12.7</v>
      </c>
      <c r="F179" s="13">
        <v>15.2</v>
      </c>
      <c r="G179" s="13">
        <v>19.899999999999999</v>
      </c>
      <c r="H179" s="13">
        <v>21.4</v>
      </c>
      <c r="I179" s="13">
        <v>22.2</v>
      </c>
      <c r="J179" s="13">
        <v>19.600000000000001</v>
      </c>
      <c r="K179" s="13">
        <v>10.199999999999999</v>
      </c>
      <c r="L179" s="13">
        <v>3.7</v>
      </c>
      <c r="M179" s="14">
        <v>2.7</v>
      </c>
      <c r="N179" s="14">
        <v>11.3</v>
      </c>
      <c r="P179" s="4">
        <f t="shared" si="14"/>
        <v>-0.3</v>
      </c>
      <c r="Q179" s="4">
        <f t="shared" si="15"/>
        <v>11.366666666666665</v>
      </c>
      <c r="R179" s="4">
        <f t="shared" si="16"/>
        <v>21.166666666666668</v>
      </c>
      <c r="S179" s="4">
        <f t="shared" si="17"/>
        <v>11.166666666666666</v>
      </c>
    </row>
    <row r="180" spans="1:19" x14ac:dyDescent="0.2">
      <c r="A180" s="11">
        <v>2012</v>
      </c>
      <c r="B180" s="13">
        <v>0</v>
      </c>
      <c r="C180" s="13">
        <v>-3.6</v>
      </c>
      <c r="D180" s="13">
        <v>8.6</v>
      </c>
      <c r="E180" s="13">
        <v>11.5</v>
      </c>
      <c r="F180" s="13">
        <v>15.1</v>
      </c>
      <c r="G180" s="13">
        <v>22.9</v>
      </c>
      <c r="H180" s="13">
        <v>24.5</v>
      </c>
      <c r="I180" s="13">
        <v>24</v>
      </c>
      <c r="J180" s="13">
        <v>18.7</v>
      </c>
      <c r="K180" s="13">
        <v>12.5</v>
      </c>
      <c r="L180" s="13">
        <v>9.1999999999999993</v>
      </c>
      <c r="M180" s="14">
        <v>0.7</v>
      </c>
      <c r="N180" s="14">
        <v>12</v>
      </c>
      <c r="P180" s="4">
        <f t="shared" si="14"/>
        <v>2.1666666666666665</v>
      </c>
      <c r="Q180" s="4">
        <f t="shared" si="15"/>
        <v>11.733333333333334</v>
      </c>
      <c r="R180" s="4">
        <f t="shared" si="16"/>
        <v>23.8</v>
      </c>
      <c r="S180" s="4">
        <f t="shared" si="17"/>
        <v>13.466666666666667</v>
      </c>
    </row>
    <row r="181" spans="1:19" x14ac:dyDescent="0.2">
      <c r="A181" s="11">
        <v>2013</v>
      </c>
      <c r="B181" s="13">
        <v>2.9</v>
      </c>
      <c r="C181" s="13">
        <v>2.9</v>
      </c>
      <c r="D181" s="13">
        <v>6.3</v>
      </c>
      <c r="E181" s="13">
        <v>13.1</v>
      </c>
      <c r="F181" s="13">
        <v>16.2</v>
      </c>
      <c r="G181" s="13">
        <v>19.899999999999999</v>
      </c>
      <c r="H181" s="13">
        <v>22</v>
      </c>
      <c r="I181" s="13">
        <v>22.8</v>
      </c>
      <c r="J181" s="13">
        <v>16.2</v>
      </c>
      <c r="K181" s="13">
        <v>13.3</v>
      </c>
      <c r="L181" s="13">
        <v>7.5</v>
      </c>
      <c r="M181" s="14">
        <v>1</v>
      </c>
      <c r="N181" s="14">
        <v>12</v>
      </c>
      <c r="P181" s="4">
        <f t="shared" si="14"/>
        <v>4.7333333333333334</v>
      </c>
      <c r="Q181" s="4">
        <f t="shared" si="15"/>
        <v>11.866666666666665</v>
      </c>
      <c r="R181" s="4">
        <f t="shared" si="16"/>
        <v>21.566666666666666</v>
      </c>
      <c r="S181" s="4">
        <f t="shared" si="17"/>
        <v>12.333333333333334</v>
      </c>
    </row>
    <row r="182" spans="1:19" x14ac:dyDescent="0.2">
      <c r="A182" s="11">
        <v>2014</v>
      </c>
      <c r="B182" s="13">
        <v>5.4</v>
      </c>
      <c r="C182" s="13">
        <v>7.8</v>
      </c>
      <c r="D182" s="13">
        <v>9.3000000000000007</v>
      </c>
      <c r="E182" s="13">
        <v>12</v>
      </c>
      <c r="F182" s="13">
        <v>15.1</v>
      </c>
      <c r="G182" s="13">
        <v>19.100000000000001</v>
      </c>
      <c r="H182" s="13">
        <v>20.8</v>
      </c>
      <c r="I182" s="13">
        <v>20.5</v>
      </c>
      <c r="J182" s="13">
        <v>16.2</v>
      </c>
      <c r="K182" s="13">
        <v>12.9</v>
      </c>
      <c r="L182" s="13">
        <v>8.9</v>
      </c>
      <c r="M182" s="14">
        <v>2.8</v>
      </c>
      <c r="N182" s="14">
        <v>12.6</v>
      </c>
      <c r="P182" s="4">
        <f t="shared" si="14"/>
        <v>2.1666666666666665</v>
      </c>
      <c r="Q182" s="4">
        <f t="shared" si="15"/>
        <v>12.133333333333333</v>
      </c>
      <c r="R182" s="4">
        <f t="shared" si="16"/>
        <v>20.133333333333336</v>
      </c>
      <c r="S182" s="4">
        <f t="shared" si="17"/>
        <v>12.666666666666666</v>
      </c>
    </row>
    <row r="183" spans="1:19" x14ac:dyDescent="0.2">
      <c r="A183" s="11">
        <v>2015</v>
      </c>
      <c r="B183" s="13">
        <v>1.1000000000000001</v>
      </c>
      <c r="C183" s="13">
        <v>2.6</v>
      </c>
      <c r="D183" s="13">
        <v>6.6</v>
      </c>
      <c r="E183" s="13">
        <v>10.9</v>
      </c>
      <c r="F183" s="13">
        <v>17.399999999999999</v>
      </c>
      <c r="G183" s="13">
        <v>19.600000000000001</v>
      </c>
      <c r="H183" s="13">
        <v>24.3</v>
      </c>
      <c r="I183" s="13">
        <v>23.2</v>
      </c>
      <c r="J183" s="13">
        <v>18</v>
      </c>
      <c r="K183" s="13">
        <v>12.2</v>
      </c>
      <c r="L183" s="13">
        <v>5.7</v>
      </c>
      <c r="M183" s="14">
        <v>0.7</v>
      </c>
      <c r="N183" s="14">
        <v>11.9</v>
      </c>
      <c r="P183" s="4">
        <f t="shared" si="14"/>
        <v>3.0666666666666664</v>
      </c>
      <c r="Q183" s="4">
        <f t="shared" si="15"/>
        <v>11.633333333333333</v>
      </c>
      <c r="R183" s="4">
        <f t="shared" si="16"/>
        <v>22.366666666666671</v>
      </c>
      <c r="S183" s="4">
        <f t="shared" si="17"/>
        <v>11.966666666666667</v>
      </c>
    </row>
    <row r="184" spans="1:19" x14ac:dyDescent="0.2">
      <c r="A184" s="11">
        <v>2016</v>
      </c>
      <c r="B184" s="1">
        <v>1.3</v>
      </c>
      <c r="C184" s="1">
        <v>7.2</v>
      </c>
      <c r="D184" s="1">
        <v>7.5</v>
      </c>
      <c r="E184" s="1">
        <v>13.4</v>
      </c>
      <c r="F184" s="1">
        <v>15.1</v>
      </c>
      <c r="G184" s="1">
        <v>20.8</v>
      </c>
      <c r="H184" s="1">
        <v>22.5</v>
      </c>
      <c r="I184" s="1">
        <v>20</v>
      </c>
      <c r="J184" s="1">
        <v>16.8</v>
      </c>
      <c r="K184" s="1">
        <v>10.8</v>
      </c>
      <c r="L184" s="1">
        <v>6.4</v>
      </c>
      <c r="M184" s="1">
        <v>-0.3</v>
      </c>
      <c r="N184" s="1">
        <v>11.8</v>
      </c>
      <c r="P184" s="4">
        <f t="shared" si="14"/>
        <v>0.23333333333333339</v>
      </c>
      <c r="Q184" s="4">
        <f t="shared" si="15"/>
        <v>12</v>
      </c>
      <c r="R184" s="4">
        <f t="shared" si="16"/>
        <v>21.099999999999998</v>
      </c>
      <c r="S184" s="4">
        <f t="shared" si="17"/>
        <v>11.333333333333334</v>
      </c>
    </row>
    <row r="185" spans="1:19" x14ac:dyDescent="0.2">
      <c r="A185" s="11">
        <v>2017</v>
      </c>
      <c r="B185" s="1">
        <v>-4.3</v>
      </c>
      <c r="C185" s="1">
        <v>5.3</v>
      </c>
      <c r="D185" s="1">
        <v>9.5</v>
      </c>
      <c r="E185" s="1">
        <v>10.6</v>
      </c>
      <c r="F185" s="1">
        <v>16.899999999999999</v>
      </c>
      <c r="G185" s="1">
        <v>21.7</v>
      </c>
      <c r="H185" s="19"/>
      <c r="I185" s="19"/>
      <c r="J185" s="19"/>
      <c r="K185" s="19"/>
      <c r="L185" s="19"/>
      <c r="M185" s="19"/>
      <c r="N185" s="19"/>
      <c r="P185" s="4">
        <f t="shared" si="14"/>
        <v>2.5499999999999998</v>
      </c>
      <c r="Q185" s="4">
        <f t="shared" si="15"/>
        <v>12.333333333333334</v>
      </c>
      <c r="R185" s="4">
        <f t="shared" si="16"/>
        <v>21.7</v>
      </c>
      <c r="S185" s="4"/>
    </row>
    <row r="186" spans="1:19" x14ac:dyDescent="0.2">
      <c r="A186" s="11">
        <v>2018</v>
      </c>
      <c r="B186" s="1">
        <v>3.7</v>
      </c>
      <c r="C186" s="1">
        <v>1.4</v>
      </c>
      <c r="D186" s="1">
        <v>6</v>
      </c>
      <c r="E186" s="1">
        <v>15.3</v>
      </c>
      <c r="F186" s="1">
        <v>18.399999999999999</v>
      </c>
      <c r="G186" s="1">
        <v>19.899999999999999</v>
      </c>
      <c r="H186" s="1">
        <v>21.2</v>
      </c>
      <c r="I186" s="1">
        <v>22.1</v>
      </c>
      <c r="J186" s="1">
        <v>16.8</v>
      </c>
      <c r="K186" s="1">
        <v>13.7</v>
      </c>
      <c r="L186" s="1">
        <v>7.9</v>
      </c>
      <c r="M186" s="1">
        <v>1</v>
      </c>
      <c r="N186" s="1">
        <v>12.3</v>
      </c>
      <c r="P186" s="4">
        <f t="shared" si="14"/>
        <v>1.4000000000000001</v>
      </c>
      <c r="Q186" s="4">
        <f t="shared" si="15"/>
        <v>13.233333333333334</v>
      </c>
      <c r="R186" s="4">
        <f t="shared" si="16"/>
        <v>21.066666666666666</v>
      </c>
      <c r="S186" s="4">
        <f t="shared" si="17"/>
        <v>12.799999999999999</v>
      </c>
    </row>
    <row r="187" spans="1:19" x14ac:dyDescent="0.2">
      <c r="A187" s="11">
        <v>2019</v>
      </c>
      <c r="B187" s="2">
        <v>-0.6</v>
      </c>
      <c r="C187" s="2">
        <v>3.8</v>
      </c>
      <c r="D187" s="2">
        <v>8.6</v>
      </c>
      <c r="E187" s="2">
        <v>12.4</v>
      </c>
      <c r="F187" s="2">
        <v>14</v>
      </c>
      <c r="G187" s="2">
        <v>22.4</v>
      </c>
      <c r="H187" s="2">
        <v>21.8</v>
      </c>
      <c r="I187" s="2">
        <v>23</v>
      </c>
      <c r="J187" s="2">
        <v>17.399999999999999</v>
      </c>
      <c r="K187" s="2">
        <v>13.1</v>
      </c>
      <c r="L187" s="2">
        <v>10.6</v>
      </c>
      <c r="M187" s="2">
        <v>3.7</v>
      </c>
      <c r="N187" s="2">
        <v>12.5</v>
      </c>
      <c r="O187" s="4"/>
      <c r="P187" s="4">
        <f t="shared" si="14"/>
        <v>3</v>
      </c>
      <c r="Q187" s="4">
        <f t="shared" si="15"/>
        <v>11.666666666666666</v>
      </c>
      <c r="R187" s="4">
        <f t="shared" si="16"/>
        <v>22.400000000000002</v>
      </c>
      <c r="S187" s="4">
        <f t="shared" si="17"/>
        <v>13.700000000000001</v>
      </c>
    </row>
    <row r="188" spans="1:19" x14ac:dyDescent="0.2">
      <c r="A188" s="11">
        <v>2020</v>
      </c>
      <c r="B188" s="1">
        <v>-0.3</v>
      </c>
      <c r="C188" s="1">
        <v>5.6</v>
      </c>
      <c r="D188" s="1">
        <v>7.4</v>
      </c>
      <c r="E188" s="1">
        <v>12.2</v>
      </c>
      <c r="F188" s="1">
        <v>15.1</v>
      </c>
      <c r="G188" s="1">
        <v>19.399999999999999</v>
      </c>
      <c r="H188" s="1">
        <v>21.1</v>
      </c>
      <c r="I188" s="1">
        <v>21</v>
      </c>
      <c r="J188" s="1">
        <v>17.7</v>
      </c>
      <c r="K188" s="1">
        <v>11.5</v>
      </c>
      <c r="L188" s="1">
        <v>6.2</v>
      </c>
      <c r="M188" s="1">
        <v>4.7</v>
      </c>
      <c r="N188" s="2">
        <v>11.8</v>
      </c>
      <c r="P188" s="4"/>
      <c r="Q188" s="4">
        <f t="shared" si="15"/>
        <v>11.566666666666668</v>
      </c>
      <c r="R188" s="4">
        <f t="shared" si="16"/>
        <v>20.5</v>
      </c>
      <c r="S188" s="4">
        <f t="shared" si="17"/>
        <v>11.799999999999999</v>
      </c>
    </row>
    <row r="189" spans="1:19" x14ac:dyDescent="0.2">
      <c r="N189" s="4">
        <f>AVERAGE(N129:N188)</f>
        <v>10.712246072686094</v>
      </c>
      <c r="O189" s="4">
        <f t="shared" ref="O189:S189" si="18">AVERAGE(O129:O188)</f>
        <v>10.923383670220517</v>
      </c>
      <c r="P189" s="4">
        <f t="shared" si="18"/>
        <v>0.95223943553953516</v>
      </c>
      <c r="Q189" s="4">
        <f t="shared" si="18"/>
        <v>10.974080009496678</v>
      </c>
      <c r="R189" s="4">
        <f t="shared" si="18"/>
        <v>19.902117400419282</v>
      </c>
      <c r="S189" s="4">
        <f t="shared" si="18"/>
        <v>11.024058223651895</v>
      </c>
    </row>
    <row r="191" spans="1:19" x14ac:dyDescent="0.2">
      <c r="A191" s="1" t="s">
        <v>33</v>
      </c>
      <c r="B191" s="1" t="s">
        <v>17</v>
      </c>
      <c r="C191" s="1" t="s">
        <v>18</v>
      </c>
      <c r="D191" s="1" t="s">
        <v>19</v>
      </c>
      <c r="E191" s="1" t="s">
        <v>20</v>
      </c>
      <c r="F191" s="1" t="s">
        <v>21</v>
      </c>
      <c r="G191" s="1" t="s">
        <v>22</v>
      </c>
      <c r="H191" s="1" t="s">
        <v>23</v>
      </c>
      <c r="I191" s="1" t="s">
        <v>24</v>
      </c>
      <c r="J191" s="1" t="s">
        <v>25</v>
      </c>
      <c r="K191" s="1" t="s">
        <v>26</v>
      </c>
      <c r="L191" s="1" t="s">
        <v>27</v>
      </c>
      <c r="M191" s="1" t="s">
        <v>28</v>
      </c>
      <c r="N191" s="7" t="s">
        <v>35</v>
      </c>
      <c r="O191" s="8"/>
      <c r="P191" s="9" t="s">
        <v>36</v>
      </c>
      <c r="Q191" s="9" t="s">
        <v>37</v>
      </c>
      <c r="R191" s="9" t="s">
        <v>38</v>
      </c>
      <c r="S191" s="9" t="s">
        <v>39</v>
      </c>
    </row>
    <row r="192" spans="1:19" x14ac:dyDescent="0.2">
      <c r="A192" s="1">
        <v>1961</v>
      </c>
      <c r="B192" s="1">
        <v>0</v>
      </c>
      <c r="C192" s="1">
        <v>1.7</v>
      </c>
      <c r="D192" s="1">
        <v>6.3</v>
      </c>
      <c r="E192" s="1">
        <v>13</v>
      </c>
      <c r="F192" s="1">
        <v>12.2</v>
      </c>
      <c r="G192" s="1">
        <v>17.600000000000001</v>
      </c>
      <c r="H192" s="1">
        <v>18.399999999999999</v>
      </c>
      <c r="I192" s="1">
        <v>18.600000000000001</v>
      </c>
      <c r="J192" s="1">
        <v>16.600000000000001</v>
      </c>
      <c r="K192" s="1">
        <v>12.1</v>
      </c>
      <c r="L192" s="1">
        <v>7.4</v>
      </c>
      <c r="M192" s="1">
        <v>0.8</v>
      </c>
      <c r="N192" s="1">
        <v>10.4</v>
      </c>
      <c r="O192" s="4"/>
      <c r="P192" s="4">
        <f>AVERAGE(M192,B193,C193)</f>
        <v>0.26666666666666666</v>
      </c>
      <c r="Q192" s="4">
        <f>AVERAGE(D192:F192)</f>
        <v>10.5</v>
      </c>
      <c r="R192" s="4">
        <f>AVERAGE(G192:I192)</f>
        <v>18.2</v>
      </c>
      <c r="S192" s="4">
        <f>AVERAGE(J192:L192)</f>
        <v>12.033333333333333</v>
      </c>
    </row>
    <row r="193" spans="1:19" x14ac:dyDescent="0.2">
      <c r="A193" s="1">
        <v>1962</v>
      </c>
      <c r="B193" s="1">
        <v>1</v>
      </c>
      <c r="C193" s="1">
        <v>-1</v>
      </c>
      <c r="D193" s="1">
        <v>1.8</v>
      </c>
      <c r="E193" s="1">
        <v>9.8000000000000007</v>
      </c>
      <c r="F193" s="1">
        <v>15.2</v>
      </c>
      <c r="G193" s="1">
        <v>15.2</v>
      </c>
      <c r="H193" s="1">
        <v>19.2</v>
      </c>
      <c r="I193" s="1">
        <v>21.3</v>
      </c>
      <c r="J193" s="1">
        <v>15.7</v>
      </c>
      <c r="K193" s="1">
        <v>10.5</v>
      </c>
      <c r="L193" s="1">
        <v>6.4</v>
      </c>
      <c r="M193" s="1">
        <v>-3.4</v>
      </c>
      <c r="N193" s="1">
        <v>9.3000000000000007</v>
      </c>
      <c r="P193" s="4">
        <f t="shared" ref="P193:P250" si="19">AVERAGE(M193,B194,C194)</f>
        <v>-3.3000000000000003</v>
      </c>
      <c r="Q193" s="4">
        <f t="shared" ref="Q193:Q251" si="20">AVERAGE(D193:F193)</f>
        <v>8.9333333333333336</v>
      </c>
      <c r="R193" s="4">
        <f t="shared" ref="R193:R251" si="21">AVERAGE(G193:I193)</f>
        <v>18.566666666666666</v>
      </c>
      <c r="S193" s="4">
        <f t="shared" ref="S193:S251" si="22">AVERAGE(J193:L193)</f>
        <v>10.866666666666667</v>
      </c>
    </row>
    <row r="194" spans="1:19" x14ac:dyDescent="0.2">
      <c r="A194" s="1">
        <v>1963</v>
      </c>
      <c r="B194" s="1">
        <v>-5.2</v>
      </c>
      <c r="C194" s="1">
        <v>-1.3</v>
      </c>
      <c r="D194" s="1">
        <v>3.4</v>
      </c>
      <c r="E194" s="1">
        <v>10.199999999999999</v>
      </c>
      <c r="F194" s="1">
        <v>13.8</v>
      </c>
      <c r="G194" s="1">
        <v>18.3</v>
      </c>
      <c r="H194" s="1">
        <v>19.3</v>
      </c>
      <c r="I194" s="1">
        <v>20</v>
      </c>
      <c r="J194" s="1">
        <v>16</v>
      </c>
      <c r="K194" s="1">
        <v>9.3000000000000007</v>
      </c>
      <c r="L194" s="1">
        <v>10.5</v>
      </c>
      <c r="M194" s="1">
        <v>-1.2</v>
      </c>
      <c r="N194" s="1">
        <v>9.4</v>
      </c>
      <c r="P194" s="4">
        <f t="shared" si="19"/>
        <v>-2.0666666666666669</v>
      </c>
      <c r="Q194" s="4">
        <f t="shared" si="20"/>
        <v>9.1333333333333329</v>
      </c>
      <c r="R194" s="4">
        <f t="shared" si="21"/>
        <v>19.2</v>
      </c>
      <c r="S194" s="4">
        <f t="shared" si="22"/>
        <v>11.933333333333332</v>
      </c>
    </row>
    <row r="195" spans="1:19" x14ac:dyDescent="0.2">
      <c r="A195" s="1">
        <v>1964</v>
      </c>
      <c r="B195" s="1">
        <v>-5.7</v>
      </c>
      <c r="C195" s="1">
        <v>0.7</v>
      </c>
      <c r="D195" s="1">
        <v>4.7</v>
      </c>
      <c r="E195" s="1">
        <v>10.199999999999999</v>
      </c>
      <c r="F195" s="1">
        <v>13.3</v>
      </c>
      <c r="G195" s="1">
        <v>17.899999999999999</v>
      </c>
      <c r="H195" s="1">
        <v>17.5</v>
      </c>
      <c r="I195" s="1">
        <v>17.3</v>
      </c>
      <c r="J195" s="1">
        <v>13.5</v>
      </c>
      <c r="K195" s="1">
        <v>11.4</v>
      </c>
      <c r="L195" s="1">
        <v>6.1</v>
      </c>
      <c r="M195" s="1">
        <v>1.5</v>
      </c>
      <c r="N195" s="1">
        <v>9</v>
      </c>
      <c r="P195" s="4">
        <f t="shared" si="19"/>
        <v>-0.53333333333333321</v>
      </c>
      <c r="Q195" s="4">
        <f t="shared" si="20"/>
        <v>9.4</v>
      </c>
      <c r="R195" s="4">
        <f t="shared" si="21"/>
        <v>17.566666666666666</v>
      </c>
      <c r="S195" s="4">
        <f t="shared" si="22"/>
        <v>10.333333333333334</v>
      </c>
    </row>
    <row r="196" spans="1:19" x14ac:dyDescent="0.2">
      <c r="A196" s="1">
        <v>1965</v>
      </c>
      <c r="B196" s="1">
        <v>1.2</v>
      </c>
      <c r="C196" s="1">
        <v>-4.3</v>
      </c>
      <c r="D196" s="1">
        <v>5.3</v>
      </c>
      <c r="E196" s="1">
        <v>7.7</v>
      </c>
      <c r="F196" s="1">
        <v>12.3</v>
      </c>
      <c r="G196" s="1">
        <v>17.399999999999999</v>
      </c>
      <c r="H196" s="1">
        <v>20.7</v>
      </c>
      <c r="I196" s="1">
        <v>17.8</v>
      </c>
      <c r="J196" s="1">
        <v>15.9</v>
      </c>
      <c r="K196" s="1">
        <v>9.1999999999999993</v>
      </c>
      <c r="L196" s="1">
        <v>6.5</v>
      </c>
      <c r="M196" s="1">
        <v>3.4</v>
      </c>
      <c r="N196" s="1">
        <v>9.4</v>
      </c>
      <c r="P196" s="4">
        <f t="shared" si="19"/>
        <v>2.1666666666666665</v>
      </c>
      <c r="Q196" s="4">
        <f t="shared" si="20"/>
        <v>8.4333333333333336</v>
      </c>
      <c r="R196" s="4">
        <f t="shared" si="21"/>
        <v>18.633333333333329</v>
      </c>
      <c r="S196" s="4">
        <f t="shared" si="22"/>
        <v>10.533333333333333</v>
      </c>
    </row>
    <row r="197" spans="1:19" x14ac:dyDescent="0.2">
      <c r="A197" s="1">
        <v>1966</v>
      </c>
      <c r="B197" s="1">
        <v>-3.8</v>
      </c>
      <c r="C197" s="1">
        <v>6.9</v>
      </c>
      <c r="D197" s="1">
        <v>3</v>
      </c>
      <c r="E197" s="1">
        <v>10.7</v>
      </c>
      <c r="F197" s="1">
        <v>13.8</v>
      </c>
      <c r="G197" s="1">
        <v>16.899999999999999</v>
      </c>
      <c r="H197" s="1">
        <v>18.399999999999999</v>
      </c>
      <c r="I197" s="1">
        <v>18.5</v>
      </c>
      <c r="J197" s="1">
        <v>15.3</v>
      </c>
      <c r="K197" s="1">
        <v>14</v>
      </c>
      <c r="L197" s="1">
        <v>4.9000000000000004</v>
      </c>
      <c r="M197" s="1">
        <v>0.6</v>
      </c>
      <c r="N197" s="1">
        <v>9.9</v>
      </c>
      <c r="P197" s="4">
        <f t="shared" si="19"/>
        <v>-0.93333333333333357</v>
      </c>
      <c r="Q197" s="4">
        <f t="shared" si="20"/>
        <v>9.1666666666666661</v>
      </c>
      <c r="R197" s="4">
        <f t="shared" si="21"/>
        <v>17.933333333333334</v>
      </c>
      <c r="S197" s="4">
        <f t="shared" si="22"/>
        <v>11.4</v>
      </c>
    </row>
    <row r="198" spans="1:19" x14ac:dyDescent="0.2">
      <c r="A198" s="1">
        <v>1967</v>
      </c>
      <c r="B198" s="1">
        <v>-4.7</v>
      </c>
      <c r="C198" s="1">
        <v>1.3</v>
      </c>
      <c r="D198" s="1">
        <v>5.4</v>
      </c>
      <c r="E198" s="1">
        <v>8.4</v>
      </c>
      <c r="F198" s="1">
        <v>14.6</v>
      </c>
      <c r="G198" s="1">
        <v>15.9</v>
      </c>
      <c r="H198" s="1">
        <v>19</v>
      </c>
      <c r="I198" s="1">
        <v>19.7</v>
      </c>
      <c r="J198" s="1">
        <v>16.600000000000001</v>
      </c>
      <c r="K198" s="1">
        <v>11.9</v>
      </c>
      <c r="L198" s="1">
        <v>6.6</v>
      </c>
      <c r="M198" s="1">
        <v>-1.5</v>
      </c>
      <c r="N198" s="1">
        <v>9.4</v>
      </c>
      <c r="P198" s="4">
        <f t="shared" si="19"/>
        <v>-0.6333333333333333</v>
      </c>
      <c r="Q198" s="4">
        <f t="shared" si="20"/>
        <v>9.4666666666666668</v>
      </c>
      <c r="R198" s="4">
        <f t="shared" si="21"/>
        <v>18.2</v>
      </c>
      <c r="S198" s="4">
        <f t="shared" si="22"/>
        <v>11.700000000000001</v>
      </c>
    </row>
    <row r="199" spans="1:19" x14ac:dyDescent="0.2">
      <c r="A199" s="1">
        <v>1968</v>
      </c>
      <c r="B199" s="1">
        <v>-3.5</v>
      </c>
      <c r="C199" s="1">
        <v>3.1</v>
      </c>
      <c r="D199" s="1">
        <v>5.0999999999999996</v>
      </c>
      <c r="E199" s="1">
        <v>12.8</v>
      </c>
      <c r="F199" s="1">
        <v>16.3</v>
      </c>
      <c r="G199" s="1">
        <v>17.2</v>
      </c>
      <c r="H199" s="1">
        <v>18.600000000000001</v>
      </c>
      <c r="I199" s="1">
        <v>16.899999999999999</v>
      </c>
      <c r="J199" s="1">
        <v>14.4</v>
      </c>
      <c r="K199" s="1">
        <v>10.199999999999999</v>
      </c>
      <c r="L199" s="1">
        <v>6.8</v>
      </c>
      <c r="M199" s="1">
        <v>-2.5</v>
      </c>
      <c r="N199" s="1">
        <v>9.6</v>
      </c>
      <c r="P199" s="4">
        <f t="shared" si="19"/>
        <v>-0.8666666666666667</v>
      </c>
      <c r="Q199" s="4">
        <f t="shared" si="20"/>
        <v>11.4</v>
      </c>
      <c r="R199" s="4">
        <f t="shared" si="21"/>
        <v>17.566666666666666</v>
      </c>
      <c r="S199" s="4">
        <f t="shared" si="22"/>
        <v>10.466666666666667</v>
      </c>
    </row>
    <row r="200" spans="1:19" x14ac:dyDescent="0.2">
      <c r="A200" s="1">
        <v>1969</v>
      </c>
      <c r="B200" s="1">
        <v>-1.7</v>
      </c>
      <c r="C200" s="1">
        <v>1.6</v>
      </c>
      <c r="D200" s="1">
        <v>4.3</v>
      </c>
      <c r="E200" s="1">
        <v>8.9</v>
      </c>
      <c r="F200" s="1">
        <v>17.2</v>
      </c>
      <c r="G200" s="1">
        <v>15.8</v>
      </c>
      <c r="H200" s="1">
        <v>17.5</v>
      </c>
      <c r="I200" s="1">
        <v>18</v>
      </c>
      <c r="J200" s="1">
        <v>15.8</v>
      </c>
      <c r="K200" s="1">
        <v>9.1999999999999993</v>
      </c>
      <c r="L200" s="1">
        <v>8.6</v>
      </c>
      <c r="M200" s="1">
        <v>-3.3</v>
      </c>
      <c r="N200" s="1">
        <v>9.3000000000000007</v>
      </c>
      <c r="P200" s="4">
        <f t="shared" si="19"/>
        <v>-0.29999999999999993</v>
      </c>
      <c r="Q200" s="4">
        <f t="shared" si="20"/>
        <v>10.133333333333333</v>
      </c>
      <c r="R200" s="4">
        <f t="shared" si="21"/>
        <v>17.099999999999998</v>
      </c>
      <c r="S200" s="4">
        <f t="shared" si="22"/>
        <v>11.200000000000001</v>
      </c>
    </row>
    <row r="201" spans="1:19" x14ac:dyDescent="0.2">
      <c r="A201" s="1">
        <v>1970</v>
      </c>
      <c r="B201" s="1">
        <v>1.5</v>
      </c>
      <c r="C201" s="1">
        <v>0.9</v>
      </c>
      <c r="D201" s="1">
        <v>4.3</v>
      </c>
      <c r="E201" s="1">
        <v>9.5</v>
      </c>
      <c r="F201" s="1">
        <v>11.3</v>
      </c>
      <c r="G201" s="1">
        <v>17.600000000000001</v>
      </c>
      <c r="H201" s="1">
        <v>18.100000000000001</v>
      </c>
      <c r="I201" s="1">
        <v>19</v>
      </c>
      <c r="J201" s="1">
        <v>15.1</v>
      </c>
      <c r="K201" s="1">
        <v>8.8000000000000007</v>
      </c>
      <c r="L201" s="1">
        <v>6.5</v>
      </c>
      <c r="M201" s="1">
        <v>0.4</v>
      </c>
      <c r="N201" s="1">
        <v>9.4</v>
      </c>
      <c r="P201" s="4">
        <f t="shared" si="19"/>
        <v>0.6</v>
      </c>
      <c r="Q201" s="4">
        <f t="shared" si="20"/>
        <v>8.3666666666666671</v>
      </c>
      <c r="R201" s="4">
        <f t="shared" si="21"/>
        <v>18.233333333333334</v>
      </c>
      <c r="S201" s="4">
        <f t="shared" si="22"/>
        <v>10.133333333333333</v>
      </c>
    </row>
    <row r="202" spans="1:19" x14ac:dyDescent="0.2">
      <c r="A202" s="1">
        <v>1971</v>
      </c>
      <c r="B202" s="1">
        <v>0.3</v>
      </c>
      <c r="C202" s="1">
        <v>1.1000000000000001</v>
      </c>
      <c r="D202" s="1">
        <v>1.6</v>
      </c>
      <c r="E202" s="1">
        <v>10.7</v>
      </c>
      <c r="F202" s="1">
        <v>16.2</v>
      </c>
      <c r="G202" s="1">
        <v>17.5</v>
      </c>
      <c r="H202" s="1">
        <v>18.899999999999999</v>
      </c>
      <c r="I202" s="1">
        <v>21.1</v>
      </c>
      <c r="J202" s="1">
        <v>12</v>
      </c>
      <c r="K202" s="1">
        <v>8.4</v>
      </c>
      <c r="L202" s="1">
        <v>5.2</v>
      </c>
      <c r="M202" s="1">
        <v>0.2</v>
      </c>
      <c r="N202" s="1">
        <v>9.4</v>
      </c>
      <c r="P202" s="4">
        <f t="shared" si="19"/>
        <v>1.8666666666666669</v>
      </c>
      <c r="Q202" s="4">
        <f t="shared" si="20"/>
        <v>9.5</v>
      </c>
      <c r="R202" s="4">
        <f t="shared" si="21"/>
        <v>19.166666666666668</v>
      </c>
      <c r="S202" s="4">
        <f t="shared" si="22"/>
        <v>8.5333333333333332</v>
      </c>
    </row>
    <row r="203" spans="1:19" x14ac:dyDescent="0.2">
      <c r="A203" s="1">
        <v>1972</v>
      </c>
      <c r="B203" s="1">
        <v>0.5</v>
      </c>
      <c r="C203" s="1">
        <v>4.9000000000000004</v>
      </c>
      <c r="D203" s="1">
        <v>8.1999999999999993</v>
      </c>
      <c r="E203" s="1">
        <v>10.7</v>
      </c>
      <c r="F203" s="1">
        <v>14.1</v>
      </c>
      <c r="G203" s="1">
        <v>19.3</v>
      </c>
      <c r="H203" s="1">
        <v>18.399999999999999</v>
      </c>
      <c r="I203" s="1">
        <v>17</v>
      </c>
      <c r="J203" s="1">
        <v>11.8</v>
      </c>
      <c r="K203" s="1">
        <v>7</v>
      </c>
      <c r="L203" s="1">
        <v>5.6</v>
      </c>
      <c r="M203" s="1">
        <v>-0.5</v>
      </c>
      <c r="N203" s="1">
        <v>9.8000000000000007</v>
      </c>
      <c r="P203" s="4">
        <f t="shared" si="19"/>
        <v>0.23333333333333331</v>
      </c>
      <c r="Q203" s="4">
        <f t="shared" si="20"/>
        <v>11</v>
      </c>
      <c r="R203" s="4">
        <f t="shared" si="21"/>
        <v>18.233333333333334</v>
      </c>
      <c r="S203" s="4">
        <f t="shared" si="22"/>
        <v>8.1333333333333329</v>
      </c>
    </row>
    <row r="204" spans="1:19" x14ac:dyDescent="0.2">
      <c r="A204" s="1">
        <v>1973</v>
      </c>
      <c r="B204" s="1">
        <v>0</v>
      </c>
      <c r="C204" s="1">
        <v>1.2</v>
      </c>
      <c r="D204" s="1">
        <v>2.7</v>
      </c>
      <c r="E204" s="1">
        <v>7.5</v>
      </c>
      <c r="F204" s="1">
        <v>15.5</v>
      </c>
      <c r="G204" s="1">
        <v>17.8</v>
      </c>
      <c r="H204" s="1">
        <v>19.399999999999999</v>
      </c>
      <c r="I204" s="1">
        <v>18.399999999999999</v>
      </c>
      <c r="J204" s="1">
        <v>16.399999999999999</v>
      </c>
      <c r="K204" s="1">
        <v>9.4</v>
      </c>
      <c r="L204" s="1">
        <v>3.4</v>
      </c>
      <c r="M204" s="1">
        <v>0.5</v>
      </c>
      <c r="N204" s="1">
        <v>9.4</v>
      </c>
      <c r="P204" s="4">
        <f t="shared" si="19"/>
        <v>1.8666666666666665</v>
      </c>
      <c r="Q204" s="4">
        <f t="shared" si="20"/>
        <v>8.5666666666666664</v>
      </c>
      <c r="R204" s="4">
        <f t="shared" si="21"/>
        <v>18.533333333333335</v>
      </c>
      <c r="S204" s="4">
        <f t="shared" si="22"/>
        <v>9.7333333333333325</v>
      </c>
    </row>
    <row r="205" spans="1:19" x14ac:dyDescent="0.2">
      <c r="A205" s="1">
        <v>1974</v>
      </c>
      <c r="B205" s="1">
        <v>0.5</v>
      </c>
      <c r="C205" s="1">
        <v>4.5999999999999996</v>
      </c>
      <c r="D205" s="1">
        <v>7.7</v>
      </c>
      <c r="E205" s="1">
        <v>7.6</v>
      </c>
      <c r="F205" s="1">
        <v>12.2</v>
      </c>
      <c r="G205" s="1">
        <v>15.9</v>
      </c>
      <c r="H205" s="1">
        <v>18.3</v>
      </c>
      <c r="I205" s="1">
        <v>19.2</v>
      </c>
      <c r="J205" s="1">
        <v>15.9</v>
      </c>
      <c r="K205" s="1">
        <v>6.9</v>
      </c>
      <c r="L205" s="1">
        <v>4.4000000000000004</v>
      </c>
      <c r="M205" s="1">
        <v>-0.1</v>
      </c>
      <c r="N205" s="1">
        <v>9.4</v>
      </c>
      <c r="P205" s="4">
        <f t="shared" si="19"/>
        <v>9.9999999999999992E-2</v>
      </c>
      <c r="Q205" s="4">
        <f t="shared" si="20"/>
        <v>9.1666666666666661</v>
      </c>
      <c r="R205" s="4">
        <f t="shared" si="21"/>
        <v>17.8</v>
      </c>
      <c r="S205" s="4">
        <f t="shared" si="22"/>
        <v>9.0666666666666682</v>
      </c>
    </row>
    <row r="206" spans="1:19" x14ac:dyDescent="0.2">
      <c r="A206" s="1">
        <v>1975</v>
      </c>
      <c r="B206" s="1">
        <v>0.3</v>
      </c>
      <c r="C206" s="1">
        <v>0.1</v>
      </c>
      <c r="D206" s="1">
        <v>7.7</v>
      </c>
      <c r="E206" s="1">
        <v>9.4</v>
      </c>
      <c r="F206" s="1">
        <v>15.2</v>
      </c>
      <c r="G206" s="1">
        <v>16.100000000000001</v>
      </c>
      <c r="H206" s="1">
        <v>18.8</v>
      </c>
      <c r="I206" s="1">
        <v>16.899999999999999</v>
      </c>
      <c r="J206" s="1">
        <v>17</v>
      </c>
      <c r="K206" s="1">
        <v>9.6</v>
      </c>
      <c r="L206" s="1">
        <v>4.0999999999999996</v>
      </c>
      <c r="M206" s="1">
        <v>0.9</v>
      </c>
      <c r="N206" s="1">
        <v>9.6999999999999993</v>
      </c>
      <c r="P206" s="4">
        <f t="shared" si="19"/>
        <v>0</v>
      </c>
      <c r="Q206" s="4">
        <f t="shared" si="20"/>
        <v>10.766666666666666</v>
      </c>
      <c r="R206" s="4">
        <f t="shared" si="21"/>
        <v>17.266666666666669</v>
      </c>
      <c r="S206" s="4">
        <f t="shared" si="22"/>
        <v>10.233333333333334</v>
      </c>
    </row>
    <row r="207" spans="1:19" x14ac:dyDescent="0.2">
      <c r="A207" s="1">
        <v>1976</v>
      </c>
      <c r="B207" s="1">
        <v>-0.8</v>
      </c>
      <c r="C207" s="1">
        <v>-0.1</v>
      </c>
      <c r="D207" s="1">
        <v>2.6</v>
      </c>
      <c r="E207" s="1">
        <v>8.5</v>
      </c>
      <c r="F207" s="1">
        <v>13.4</v>
      </c>
      <c r="G207" s="1">
        <v>15.4</v>
      </c>
      <c r="H207" s="1">
        <v>18.3</v>
      </c>
      <c r="I207" s="1">
        <v>14.8</v>
      </c>
      <c r="J207" s="1">
        <v>13.1</v>
      </c>
      <c r="K207" s="1">
        <v>12</v>
      </c>
      <c r="L207" s="1">
        <v>5.5</v>
      </c>
      <c r="M207" s="1">
        <v>1.4</v>
      </c>
      <c r="N207" s="1">
        <v>8.6999999999999993</v>
      </c>
      <c r="P207" s="4">
        <f t="shared" si="19"/>
        <v>3.3333333333333335</v>
      </c>
      <c r="Q207" s="4">
        <f t="shared" si="20"/>
        <v>8.1666666666666661</v>
      </c>
      <c r="R207" s="4">
        <f t="shared" si="21"/>
        <v>16.166666666666668</v>
      </c>
      <c r="S207" s="4">
        <f t="shared" si="22"/>
        <v>10.200000000000001</v>
      </c>
    </row>
    <row r="208" spans="1:19" x14ac:dyDescent="0.2">
      <c r="A208" s="1">
        <v>1977</v>
      </c>
      <c r="B208" s="1">
        <v>3</v>
      </c>
      <c r="C208" s="1">
        <v>5.6</v>
      </c>
      <c r="D208" s="1">
        <v>8.6</v>
      </c>
      <c r="E208" s="1">
        <v>9.1</v>
      </c>
      <c r="F208" s="1">
        <v>14.6</v>
      </c>
      <c r="G208" s="1">
        <v>16.8</v>
      </c>
      <c r="H208" s="1">
        <v>19.2</v>
      </c>
      <c r="I208" s="1">
        <v>18</v>
      </c>
      <c r="J208" s="1">
        <v>12.5</v>
      </c>
      <c r="K208" s="1">
        <v>10.8</v>
      </c>
      <c r="L208" s="1">
        <v>5.6</v>
      </c>
      <c r="M208" s="1">
        <v>-2.1</v>
      </c>
      <c r="N208" s="1">
        <v>10.1</v>
      </c>
      <c r="P208" s="4">
        <f t="shared" si="19"/>
        <v>-6.6666666666666721E-2</v>
      </c>
      <c r="Q208" s="4">
        <f t="shared" si="20"/>
        <v>10.766666666666666</v>
      </c>
      <c r="R208" s="4">
        <f t="shared" si="21"/>
        <v>18</v>
      </c>
      <c r="S208" s="4">
        <f t="shared" si="22"/>
        <v>9.6333333333333329</v>
      </c>
    </row>
    <row r="209" spans="1:19" x14ac:dyDescent="0.2">
      <c r="A209" s="1">
        <v>1978</v>
      </c>
      <c r="B209" s="1">
        <v>0.2</v>
      </c>
      <c r="C209" s="1">
        <v>1.7</v>
      </c>
      <c r="D209" s="1">
        <v>5.8</v>
      </c>
      <c r="E209" s="1">
        <v>8.5</v>
      </c>
      <c r="F209" s="1">
        <v>12</v>
      </c>
      <c r="G209" s="1">
        <v>16.600000000000001</v>
      </c>
      <c r="H209" s="1">
        <v>18.2</v>
      </c>
      <c r="I209" s="1">
        <v>17.5</v>
      </c>
      <c r="J209" s="1">
        <v>12.8</v>
      </c>
      <c r="K209" s="1">
        <v>9.3000000000000007</v>
      </c>
      <c r="L209" s="1">
        <v>1</v>
      </c>
      <c r="M209" s="1">
        <v>2.1</v>
      </c>
      <c r="N209" s="1">
        <v>8.8000000000000007</v>
      </c>
      <c r="P209" s="4">
        <f t="shared" si="19"/>
        <v>1.7999999999999998</v>
      </c>
      <c r="Q209" s="4">
        <f t="shared" si="20"/>
        <v>8.7666666666666675</v>
      </c>
      <c r="R209" s="4">
        <f t="shared" si="21"/>
        <v>17.433333333333334</v>
      </c>
      <c r="S209" s="4">
        <f t="shared" si="22"/>
        <v>7.7</v>
      </c>
    </row>
    <row r="210" spans="1:19" x14ac:dyDescent="0.2">
      <c r="A210" s="1">
        <v>1979</v>
      </c>
      <c r="B210" s="1">
        <v>-0.8</v>
      </c>
      <c r="C210" s="1">
        <v>4.0999999999999996</v>
      </c>
      <c r="D210" s="1">
        <v>7.6</v>
      </c>
      <c r="E210" s="1">
        <v>8</v>
      </c>
      <c r="F210" s="1">
        <v>14</v>
      </c>
      <c r="G210" s="1">
        <v>18.2</v>
      </c>
      <c r="H210" s="1">
        <v>17.5</v>
      </c>
      <c r="I210" s="1">
        <v>17.399999999999999</v>
      </c>
      <c r="J210" s="1">
        <v>14.5</v>
      </c>
      <c r="K210" s="1">
        <v>9.9</v>
      </c>
      <c r="L210" s="1">
        <v>5.7</v>
      </c>
      <c r="M210" s="1">
        <v>4.0999999999999996</v>
      </c>
      <c r="N210" s="1">
        <v>10</v>
      </c>
      <c r="P210" s="4">
        <f t="shared" si="19"/>
        <v>1.3666666666666665</v>
      </c>
      <c r="Q210" s="4">
        <f t="shared" si="20"/>
        <v>9.8666666666666671</v>
      </c>
      <c r="R210" s="4">
        <f t="shared" si="21"/>
        <v>17.7</v>
      </c>
      <c r="S210" s="4">
        <f t="shared" si="22"/>
        <v>10.033333333333333</v>
      </c>
    </row>
    <row r="211" spans="1:19" x14ac:dyDescent="0.2">
      <c r="A211" s="1">
        <v>1980</v>
      </c>
      <c r="B211" s="1">
        <v>-1.7</v>
      </c>
      <c r="C211" s="1">
        <v>1.7</v>
      </c>
      <c r="D211" s="1">
        <v>5.0999999999999996</v>
      </c>
      <c r="E211" s="1">
        <v>6.2</v>
      </c>
      <c r="F211" s="1">
        <v>11.3</v>
      </c>
      <c r="G211" s="1">
        <v>17</v>
      </c>
      <c r="H211" s="1">
        <v>18.600000000000001</v>
      </c>
      <c r="I211" s="1">
        <v>19.100000000000001</v>
      </c>
      <c r="J211" s="1">
        <v>15.3</v>
      </c>
      <c r="K211" s="1">
        <v>11.2</v>
      </c>
      <c r="L211" s="1">
        <v>5.9</v>
      </c>
      <c r="M211" s="1">
        <v>-2.2999999999999998</v>
      </c>
      <c r="N211" s="1">
        <v>9</v>
      </c>
      <c r="P211" s="4">
        <f t="shared" si="19"/>
        <v>-2.1999999999999997</v>
      </c>
      <c r="Q211" s="4">
        <f t="shared" si="20"/>
        <v>7.5333333333333341</v>
      </c>
      <c r="R211" s="4">
        <f t="shared" si="21"/>
        <v>18.233333333333334</v>
      </c>
      <c r="S211" s="4">
        <f t="shared" si="22"/>
        <v>10.799999999999999</v>
      </c>
    </row>
    <row r="212" spans="1:19" x14ac:dyDescent="0.2">
      <c r="A212" s="1">
        <v>1981</v>
      </c>
      <c r="B212" s="1">
        <v>-4.0999999999999996</v>
      </c>
      <c r="C212" s="1">
        <v>-0.2</v>
      </c>
      <c r="D212" s="1">
        <v>7.7</v>
      </c>
      <c r="E212" s="1">
        <v>9.6</v>
      </c>
      <c r="F212" s="1">
        <v>14.3</v>
      </c>
      <c r="G212" s="1">
        <v>17.8</v>
      </c>
      <c r="H212" s="1">
        <v>17.8</v>
      </c>
      <c r="I212" s="1">
        <v>18.2</v>
      </c>
      <c r="J212" s="1">
        <v>15.5</v>
      </c>
      <c r="K212" s="1">
        <v>12.3</v>
      </c>
      <c r="L212" s="1">
        <v>1.8</v>
      </c>
      <c r="M212" s="1">
        <v>2.5</v>
      </c>
      <c r="N212" s="1">
        <v>9.4</v>
      </c>
      <c r="P212" s="4">
        <f t="shared" si="19"/>
        <v>0.5</v>
      </c>
      <c r="Q212" s="4">
        <f t="shared" si="20"/>
        <v>10.533333333333333</v>
      </c>
      <c r="R212" s="4">
        <f t="shared" si="21"/>
        <v>17.933333333333334</v>
      </c>
      <c r="S212" s="4">
        <f t="shared" si="22"/>
        <v>9.8666666666666671</v>
      </c>
    </row>
    <row r="213" spans="1:19" x14ac:dyDescent="0.2">
      <c r="A213" s="1">
        <v>1982</v>
      </c>
      <c r="B213" s="1">
        <v>-0.6</v>
      </c>
      <c r="C213" s="1">
        <v>-0.4</v>
      </c>
      <c r="D213" s="1">
        <v>4.0999999999999996</v>
      </c>
      <c r="E213" s="1">
        <v>6.3</v>
      </c>
      <c r="F213" s="1">
        <v>15.1</v>
      </c>
      <c r="G213" s="1">
        <v>18.899999999999999</v>
      </c>
      <c r="H213" s="1">
        <v>19.399999999999999</v>
      </c>
      <c r="I213" s="1">
        <v>19.399999999999999</v>
      </c>
      <c r="J213" s="1">
        <v>18.7</v>
      </c>
      <c r="K213" s="1">
        <v>11.8</v>
      </c>
      <c r="L213" s="1">
        <v>4.2</v>
      </c>
      <c r="M213" s="1">
        <v>4.0999999999999996</v>
      </c>
      <c r="N213" s="1">
        <v>10.1</v>
      </c>
      <c r="P213" s="4">
        <f t="shared" si="19"/>
        <v>1.4666666666666666</v>
      </c>
      <c r="Q213" s="4">
        <f t="shared" si="20"/>
        <v>8.5</v>
      </c>
      <c r="R213" s="4">
        <f t="shared" si="21"/>
        <v>19.233333333333331</v>
      </c>
      <c r="S213" s="4">
        <f t="shared" si="22"/>
        <v>11.566666666666668</v>
      </c>
    </row>
    <row r="214" spans="1:19" x14ac:dyDescent="0.2">
      <c r="A214" s="1">
        <v>1983</v>
      </c>
      <c r="B214" s="1">
        <v>1</v>
      </c>
      <c r="C214" s="1">
        <v>-0.7</v>
      </c>
      <c r="D214" s="1">
        <v>6.5</v>
      </c>
      <c r="E214" s="1">
        <v>12.2</v>
      </c>
      <c r="F214" s="1">
        <v>16.2</v>
      </c>
      <c r="G214" s="1">
        <v>16.3</v>
      </c>
      <c r="H214" s="1">
        <v>19.399999999999999</v>
      </c>
      <c r="I214" s="1">
        <v>18.2</v>
      </c>
      <c r="J214" s="1">
        <v>14.6</v>
      </c>
      <c r="K214" s="1">
        <v>9.8000000000000007</v>
      </c>
      <c r="L214" s="1">
        <v>2.1</v>
      </c>
      <c r="M214" s="1">
        <v>0.4</v>
      </c>
      <c r="N214" s="1">
        <v>9.6999999999999993</v>
      </c>
      <c r="P214" s="4">
        <f t="shared" si="19"/>
        <v>0.56666666666666676</v>
      </c>
      <c r="Q214" s="4">
        <f t="shared" si="20"/>
        <v>11.633333333333333</v>
      </c>
      <c r="R214" s="4">
        <f t="shared" si="21"/>
        <v>17.966666666666669</v>
      </c>
      <c r="S214" s="4">
        <f t="shared" si="22"/>
        <v>8.8333333333333339</v>
      </c>
    </row>
    <row r="215" spans="1:19" x14ac:dyDescent="0.2">
      <c r="A215" s="1">
        <v>1984</v>
      </c>
      <c r="B215" s="1">
        <v>0.9</v>
      </c>
      <c r="C215" s="1">
        <v>0.4</v>
      </c>
      <c r="D215" s="1">
        <v>3.4</v>
      </c>
      <c r="E215" s="1">
        <v>7.9</v>
      </c>
      <c r="F215" s="1">
        <v>14.2</v>
      </c>
      <c r="G215" s="1">
        <v>15.9</v>
      </c>
      <c r="H215" s="1">
        <v>17.5</v>
      </c>
      <c r="I215" s="1">
        <v>17.100000000000001</v>
      </c>
      <c r="J215" s="1">
        <v>14.8</v>
      </c>
      <c r="K215" s="1">
        <v>11.9</v>
      </c>
      <c r="L215" s="1">
        <v>6.3</v>
      </c>
      <c r="M215" s="1">
        <v>0.1</v>
      </c>
      <c r="N215" s="1">
        <v>9.1999999999999993</v>
      </c>
      <c r="P215" s="4">
        <f t="shared" si="19"/>
        <v>-2.2666666666666671</v>
      </c>
      <c r="Q215" s="4">
        <f t="shared" si="20"/>
        <v>8.5</v>
      </c>
      <c r="R215" s="4">
        <f t="shared" si="21"/>
        <v>16.833333333333332</v>
      </c>
      <c r="S215" s="4">
        <f t="shared" si="22"/>
        <v>11</v>
      </c>
    </row>
    <row r="216" spans="1:19" x14ac:dyDescent="0.2">
      <c r="A216" s="1">
        <v>1985</v>
      </c>
      <c r="B216" s="1">
        <v>-4.4000000000000004</v>
      </c>
      <c r="C216" s="1">
        <v>-2.5</v>
      </c>
      <c r="D216" s="1">
        <v>5.0999999999999996</v>
      </c>
      <c r="E216" s="1">
        <v>9.4</v>
      </c>
      <c r="F216" s="1">
        <v>16.2</v>
      </c>
      <c r="G216" s="1">
        <v>16.3</v>
      </c>
      <c r="H216" s="1">
        <v>19.899999999999999</v>
      </c>
      <c r="I216" s="1">
        <v>19.899999999999999</v>
      </c>
      <c r="J216" s="1">
        <v>15</v>
      </c>
      <c r="K216" s="1">
        <v>9.4</v>
      </c>
      <c r="L216" s="1">
        <v>5.3</v>
      </c>
      <c r="M216" s="1">
        <v>2.2999999999999998</v>
      </c>
      <c r="N216" s="1">
        <v>9.3000000000000007</v>
      </c>
      <c r="P216" s="4">
        <f t="shared" si="19"/>
        <v>0.56666666666666665</v>
      </c>
      <c r="Q216" s="4">
        <f t="shared" si="20"/>
        <v>10.233333333333333</v>
      </c>
      <c r="R216" s="4">
        <f t="shared" si="21"/>
        <v>18.7</v>
      </c>
      <c r="S216" s="4">
        <f t="shared" si="22"/>
        <v>9.9</v>
      </c>
    </row>
    <row r="217" spans="1:19" x14ac:dyDescent="0.2">
      <c r="A217" s="1">
        <v>1986</v>
      </c>
      <c r="B217" s="1">
        <v>0.6</v>
      </c>
      <c r="C217" s="1">
        <v>-1.2</v>
      </c>
      <c r="D217" s="1">
        <v>5.0999999999999996</v>
      </c>
      <c r="E217" s="1">
        <v>11.3</v>
      </c>
      <c r="F217" s="1">
        <v>16</v>
      </c>
      <c r="G217" s="1">
        <v>16</v>
      </c>
      <c r="H217" s="1">
        <v>17.100000000000001</v>
      </c>
      <c r="I217" s="1">
        <v>20</v>
      </c>
      <c r="J217" s="1">
        <v>15.1</v>
      </c>
      <c r="K217" s="1">
        <v>10.3</v>
      </c>
      <c r="L217" s="1">
        <v>4.4000000000000004</v>
      </c>
      <c r="M217" s="1">
        <v>-1.6</v>
      </c>
      <c r="N217" s="1">
        <v>9.4</v>
      </c>
      <c r="P217" s="4">
        <f t="shared" si="19"/>
        <v>-0.23333333333333339</v>
      </c>
      <c r="Q217" s="4">
        <f t="shared" si="20"/>
        <v>10.799999999999999</v>
      </c>
      <c r="R217" s="4">
        <f t="shared" si="21"/>
        <v>17.7</v>
      </c>
      <c r="S217" s="4">
        <f t="shared" si="22"/>
        <v>9.9333333333333318</v>
      </c>
    </row>
    <row r="218" spans="1:19" x14ac:dyDescent="0.2">
      <c r="A218" s="1">
        <v>1987</v>
      </c>
      <c r="B218" s="1">
        <v>-1.6</v>
      </c>
      <c r="C218" s="1">
        <v>2.5</v>
      </c>
      <c r="D218" s="1">
        <v>-0.4</v>
      </c>
      <c r="E218" s="1">
        <v>8.9</v>
      </c>
      <c r="F218" s="1">
        <v>12.4</v>
      </c>
      <c r="G218" s="1">
        <v>17.600000000000001</v>
      </c>
      <c r="H218" s="1">
        <v>22.4</v>
      </c>
      <c r="I218" s="1">
        <v>18.600000000000001</v>
      </c>
      <c r="J218" s="1">
        <v>19</v>
      </c>
      <c r="K218" s="1">
        <v>11.7</v>
      </c>
      <c r="L218" s="1">
        <v>6.1</v>
      </c>
      <c r="M218" s="1">
        <v>0.3</v>
      </c>
      <c r="N218" s="1">
        <v>9.8000000000000007</v>
      </c>
      <c r="P218" s="4">
        <f t="shared" si="19"/>
        <v>1.8333333333333333</v>
      </c>
      <c r="Q218" s="4">
        <f t="shared" si="20"/>
        <v>6.9666666666666659</v>
      </c>
      <c r="R218" s="4">
        <f t="shared" si="21"/>
        <v>19.533333333333335</v>
      </c>
      <c r="S218" s="4">
        <f t="shared" si="22"/>
        <v>12.266666666666666</v>
      </c>
    </row>
    <row r="219" spans="1:19" x14ac:dyDescent="0.2">
      <c r="A219" s="1">
        <v>1988</v>
      </c>
      <c r="B219" s="1">
        <v>2.2999999999999998</v>
      </c>
      <c r="C219" s="1">
        <v>2.9</v>
      </c>
      <c r="D219" s="1">
        <v>3.5</v>
      </c>
      <c r="E219" s="1">
        <v>9.3000000000000007</v>
      </c>
      <c r="F219" s="1">
        <v>14.8</v>
      </c>
      <c r="G219" s="1">
        <v>16.7</v>
      </c>
      <c r="H219" s="1">
        <v>22.4</v>
      </c>
      <c r="I219" s="1">
        <v>20.7</v>
      </c>
      <c r="J219" s="1">
        <v>14.8</v>
      </c>
      <c r="K219" s="1">
        <v>10.5</v>
      </c>
      <c r="L219" s="1">
        <v>0.3</v>
      </c>
      <c r="M219" s="1">
        <v>0.1</v>
      </c>
      <c r="N219" s="1">
        <v>9.9</v>
      </c>
      <c r="P219" s="4">
        <f t="shared" si="19"/>
        <v>0.96666666666666645</v>
      </c>
      <c r="Q219" s="4">
        <f t="shared" si="20"/>
        <v>9.2000000000000011</v>
      </c>
      <c r="R219" s="4">
        <f t="shared" si="21"/>
        <v>19.933333333333334</v>
      </c>
      <c r="S219" s="4">
        <f t="shared" si="22"/>
        <v>8.5333333333333332</v>
      </c>
    </row>
    <row r="220" spans="1:19" x14ac:dyDescent="0.2">
      <c r="A220" s="1">
        <v>1989</v>
      </c>
      <c r="B220" s="1">
        <v>-1.3</v>
      </c>
      <c r="C220" s="1">
        <v>4.0999999999999996</v>
      </c>
      <c r="D220" s="1">
        <v>8.4</v>
      </c>
      <c r="E220" s="1">
        <v>11.8</v>
      </c>
      <c r="F220" s="1">
        <v>12.5</v>
      </c>
      <c r="G220" s="1">
        <v>14.8</v>
      </c>
      <c r="H220" s="1">
        <v>18.7</v>
      </c>
      <c r="I220" s="1">
        <v>18.2</v>
      </c>
      <c r="J220" s="1">
        <v>15.2</v>
      </c>
      <c r="K220" s="1">
        <v>9.1999999999999993</v>
      </c>
      <c r="L220" s="1">
        <v>3.4</v>
      </c>
      <c r="M220" s="1">
        <v>1.7</v>
      </c>
      <c r="N220" s="1">
        <v>9.6999999999999993</v>
      </c>
      <c r="P220" s="4">
        <f t="shared" si="19"/>
        <v>2.0666666666666669</v>
      </c>
      <c r="Q220" s="4">
        <f t="shared" si="20"/>
        <v>10.9</v>
      </c>
      <c r="R220" s="4">
        <f t="shared" si="21"/>
        <v>17.233333333333334</v>
      </c>
      <c r="S220" s="4">
        <f t="shared" si="22"/>
        <v>9.2666666666666657</v>
      </c>
    </row>
    <row r="221" spans="1:19" x14ac:dyDescent="0.2">
      <c r="A221" s="1">
        <v>1990</v>
      </c>
      <c r="B221" s="1">
        <v>-1.2</v>
      </c>
      <c r="C221" s="1">
        <v>5.7</v>
      </c>
      <c r="D221" s="1">
        <v>8.4</v>
      </c>
      <c r="E221" s="1">
        <v>9</v>
      </c>
      <c r="F221" s="1">
        <v>13.9</v>
      </c>
      <c r="G221" s="1">
        <v>17.7</v>
      </c>
      <c r="H221" s="1">
        <v>19.100000000000001</v>
      </c>
      <c r="I221" s="1">
        <v>19</v>
      </c>
      <c r="J221" s="1">
        <v>13.7</v>
      </c>
      <c r="K221" s="1">
        <v>12.5</v>
      </c>
      <c r="L221" s="1">
        <v>7.4</v>
      </c>
      <c r="M221" s="1">
        <v>-0.2</v>
      </c>
      <c r="N221" s="1">
        <v>10.4</v>
      </c>
      <c r="P221" s="4">
        <f t="shared" si="19"/>
        <v>-0.66666666666666663</v>
      </c>
      <c r="Q221" s="4">
        <f t="shared" si="20"/>
        <v>10.433333333333332</v>
      </c>
      <c r="R221" s="4">
        <f t="shared" si="21"/>
        <v>18.599999999999998</v>
      </c>
      <c r="S221" s="4">
        <f t="shared" si="22"/>
        <v>11.200000000000001</v>
      </c>
    </row>
    <row r="222" spans="1:19" x14ac:dyDescent="0.2">
      <c r="A222" s="1">
        <v>1991</v>
      </c>
      <c r="B222" s="1">
        <v>-0.8</v>
      </c>
      <c r="C222" s="1">
        <v>-1</v>
      </c>
      <c r="D222" s="1">
        <v>8.1999999999999993</v>
      </c>
      <c r="E222" s="1">
        <v>7.1</v>
      </c>
      <c r="F222" s="1">
        <v>10.3</v>
      </c>
      <c r="G222" s="1">
        <v>18.399999999999999</v>
      </c>
      <c r="H222" s="1">
        <v>18.3</v>
      </c>
      <c r="I222" s="1">
        <v>18.100000000000001</v>
      </c>
      <c r="J222" s="1">
        <v>16.2</v>
      </c>
      <c r="K222" s="1">
        <v>9.3000000000000007</v>
      </c>
      <c r="L222" s="1">
        <v>6.2</v>
      </c>
      <c r="M222" s="1">
        <v>-3.3</v>
      </c>
      <c r="N222" s="1">
        <v>8.9</v>
      </c>
      <c r="P222" s="4">
        <f t="shared" si="19"/>
        <v>-1.3</v>
      </c>
      <c r="Q222" s="4">
        <f t="shared" si="20"/>
        <v>8.5333333333333332</v>
      </c>
      <c r="R222" s="4">
        <f t="shared" si="21"/>
        <v>18.266666666666669</v>
      </c>
      <c r="S222" s="4">
        <f t="shared" si="22"/>
        <v>10.566666666666666</v>
      </c>
    </row>
    <row r="223" spans="1:19" x14ac:dyDescent="0.2">
      <c r="A223" s="1">
        <v>1992</v>
      </c>
      <c r="B223" s="1">
        <v>-1.6</v>
      </c>
      <c r="C223" s="1">
        <v>1</v>
      </c>
      <c r="D223" s="1">
        <v>5.5</v>
      </c>
      <c r="E223" s="1">
        <v>9.6</v>
      </c>
      <c r="F223" s="1">
        <v>14.3</v>
      </c>
      <c r="G223" s="1">
        <v>16.899999999999999</v>
      </c>
      <c r="H223" s="1">
        <v>19.3</v>
      </c>
      <c r="I223" s="1">
        <v>22.8</v>
      </c>
      <c r="J223" s="1">
        <v>16</v>
      </c>
      <c r="K223" s="1">
        <v>12.1</v>
      </c>
      <c r="L223" s="1">
        <v>7.3</v>
      </c>
      <c r="M223" s="1">
        <v>0.1</v>
      </c>
      <c r="N223" s="1">
        <v>10.3</v>
      </c>
      <c r="P223" s="4">
        <f t="shared" si="19"/>
        <v>-0.6333333333333333</v>
      </c>
      <c r="Q223" s="4">
        <f t="shared" si="20"/>
        <v>9.7999999999999989</v>
      </c>
      <c r="R223" s="4">
        <f t="shared" si="21"/>
        <v>19.666666666666668</v>
      </c>
      <c r="S223" s="4">
        <f t="shared" si="22"/>
        <v>11.799999999999999</v>
      </c>
    </row>
    <row r="224" spans="1:19" x14ac:dyDescent="0.2">
      <c r="A224" s="1">
        <v>1993</v>
      </c>
      <c r="B224" s="1">
        <v>-0.6</v>
      </c>
      <c r="C224" s="1">
        <v>-1.4</v>
      </c>
      <c r="D224" s="1">
        <v>3.3</v>
      </c>
      <c r="E224" s="1">
        <v>9.8000000000000007</v>
      </c>
      <c r="F224" s="1">
        <v>16</v>
      </c>
      <c r="G224" s="1">
        <v>18</v>
      </c>
      <c r="H224" s="1">
        <v>19.7</v>
      </c>
      <c r="I224" s="1">
        <v>20</v>
      </c>
      <c r="J224" s="1">
        <v>15.5</v>
      </c>
      <c r="K224" s="1">
        <v>13.4</v>
      </c>
      <c r="L224" s="1">
        <v>3</v>
      </c>
      <c r="M224" s="1">
        <v>3.6</v>
      </c>
      <c r="N224" s="1">
        <v>10</v>
      </c>
      <c r="P224" s="4">
        <f t="shared" si="19"/>
        <v>2.3666666666666667</v>
      </c>
      <c r="Q224" s="4">
        <f t="shared" si="20"/>
        <v>9.7000000000000011</v>
      </c>
      <c r="R224" s="4">
        <f t="shared" si="21"/>
        <v>19.233333333333334</v>
      </c>
      <c r="S224" s="4">
        <f t="shared" si="22"/>
        <v>10.633333333333333</v>
      </c>
    </row>
    <row r="225" spans="1:19" x14ac:dyDescent="0.2">
      <c r="A225" s="1">
        <v>1994</v>
      </c>
      <c r="B225" s="1">
        <v>2.2000000000000002</v>
      </c>
      <c r="C225" s="1">
        <v>1.3</v>
      </c>
      <c r="D225" s="1">
        <v>8.6999999999999993</v>
      </c>
      <c r="E225" s="1">
        <v>9.8000000000000007</v>
      </c>
      <c r="F225" s="1">
        <v>15.7</v>
      </c>
      <c r="G225" s="1">
        <v>17.600000000000001</v>
      </c>
      <c r="H225" s="1">
        <v>20.2</v>
      </c>
      <c r="I225" s="1">
        <v>21.1</v>
      </c>
      <c r="J225" s="1">
        <v>18.600000000000001</v>
      </c>
      <c r="K225" s="1">
        <v>9.6</v>
      </c>
      <c r="L225" s="1">
        <v>6.8</v>
      </c>
      <c r="M225" s="1">
        <v>1</v>
      </c>
      <c r="N225" s="1">
        <v>11.1</v>
      </c>
      <c r="P225" s="4">
        <f t="shared" si="19"/>
        <v>1.8666666666666669</v>
      </c>
      <c r="Q225" s="4">
        <f t="shared" si="20"/>
        <v>11.4</v>
      </c>
      <c r="R225" s="4">
        <f t="shared" si="21"/>
        <v>19.633333333333333</v>
      </c>
      <c r="S225" s="4">
        <f t="shared" si="22"/>
        <v>11.666666666666666</v>
      </c>
    </row>
    <row r="226" spans="1:19" x14ac:dyDescent="0.2">
      <c r="A226" s="1">
        <v>1995</v>
      </c>
      <c r="B226" s="1">
        <v>-0.8</v>
      </c>
      <c r="C226" s="1">
        <v>5.4</v>
      </c>
      <c r="D226" s="1">
        <v>4.4000000000000004</v>
      </c>
      <c r="E226" s="1">
        <v>8.8000000000000007</v>
      </c>
      <c r="F226" s="1">
        <v>13.6</v>
      </c>
      <c r="G226" s="1">
        <v>16.8</v>
      </c>
      <c r="H226" s="1">
        <v>20.9</v>
      </c>
      <c r="I226" s="1">
        <v>17.399999999999999</v>
      </c>
      <c r="J226" s="1">
        <v>13.7</v>
      </c>
      <c r="K226" s="1">
        <v>10.8</v>
      </c>
      <c r="L226" s="1">
        <v>2.5</v>
      </c>
      <c r="M226" s="1">
        <v>2.4</v>
      </c>
      <c r="N226" s="1">
        <v>9.6999999999999993</v>
      </c>
      <c r="P226" s="4">
        <f t="shared" si="19"/>
        <v>0.93333333333333324</v>
      </c>
      <c r="Q226" s="4">
        <f t="shared" si="20"/>
        <v>8.9333333333333336</v>
      </c>
      <c r="R226" s="4">
        <f t="shared" si="21"/>
        <v>18.366666666666667</v>
      </c>
      <c r="S226" s="4">
        <f t="shared" si="22"/>
        <v>9</v>
      </c>
    </row>
    <row r="227" spans="1:19" x14ac:dyDescent="0.2">
      <c r="A227" s="1">
        <v>1996</v>
      </c>
      <c r="B227" s="1">
        <v>1.7</v>
      </c>
      <c r="C227" s="1">
        <v>-1.3</v>
      </c>
      <c r="D227" s="1">
        <v>2.1</v>
      </c>
      <c r="E227" s="1">
        <v>9.4</v>
      </c>
      <c r="F227" s="1">
        <v>15.9</v>
      </c>
      <c r="G227" s="1">
        <v>18.7</v>
      </c>
      <c r="H227" s="1">
        <v>19.100000000000001</v>
      </c>
      <c r="I227" s="1">
        <v>19</v>
      </c>
      <c r="J227" s="1">
        <v>11.6</v>
      </c>
      <c r="K227" s="1">
        <v>10.3</v>
      </c>
      <c r="L227" s="1">
        <v>8</v>
      </c>
      <c r="M227" s="1">
        <v>-0.4</v>
      </c>
      <c r="N227" s="1">
        <v>9.5</v>
      </c>
      <c r="P227" s="4">
        <f t="shared" si="19"/>
        <v>1.2333333333333332</v>
      </c>
      <c r="Q227" s="4">
        <f t="shared" si="20"/>
        <v>9.1333333333333329</v>
      </c>
      <c r="R227" s="4">
        <f t="shared" si="21"/>
        <v>18.933333333333334</v>
      </c>
      <c r="S227" s="4">
        <f t="shared" si="22"/>
        <v>9.9666666666666668</v>
      </c>
    </row>
    <row r="228" spans="1:19" x14ac:dyDescent="0.2">
      <c r="A228" s="1">
        <v>1997</v>
      </c>
      <c r="B228" s="1">
        <v>1.3</v>
      </c>
      <c r="C228" s="1">
        <v>2.8</v>
      </c>
      <c r="D228" s="1">
        <v>4.9000000000000004</v>
      </c>
      <c r="E228" s="1">
        <v>4.5</v>
      </c>
      <c r="F228" s="1">
        <v>14.9</v>
      </c>
      <c r="G228" s="1">
        <v>19.7</v>
      </c>
      <c r="H228" s="1">
        <v>18.899999999999999</v>
      </c>
      <c r="I228" s="1">
        <v>17.899999999999999</v>
      </c>
      <c r="J228" s="1">
        <v>15.1</v>
      </c>
      <c r="K228" s="1">
        <v>7.6</v>
      </c>
      <c r="L228" s="1">
        <v>5.9</v>
      </c>
      <c r="M228" s="1">
        <v>2.9</v>
      </c>
      <c r="N228" s="1">
        <v>9.6999999999999993</v>
      </c>
      <c r="P228" s="4">
        <f t="shared" si="19"/>
        <v>2.9</v>
      </c>
      <c r="Q228" s="4">
        <f t="shared" si="20"/>
        <v>8.1</v>
      </c>
      <c r="R228" s="4">
        <f t="shared" si="21"/>
        <v>18.833333333333332</v>
      </c>
      <c r="S228" s="4">
        <f t="shared" si="22"/>
        <v>9.5333333333333332</v>
      </c>
    </row>
    <row r="229" spans="1:19" x14ac:dyDescent="0.2">
      <c r="A229" s="1">
        <v>1998</v>
      </c>
      <c r="B229" s="1">
        <v>2</v>
      </c>
      <c r="C229" s="1">
        <v>3.8</v>
      </c>
      <c r="D229" s="1">
        <v>3.2</v>
      </c>
      <c r="E229" s="1">
        <v>11.1</v>
      </c>
      <c r="F229" s="1">
        <v>13.6</v>
      </c>
      <c r="G229" s="1">
        <v>19.2</v>
      </c>
      <c r="H229" s="1">
        <v>21.4</v>
      </c>
      <c r="I229" s="1">
        <v>20.6</v>
      </c>
      <c r="J229" s="1">
        <v>14.8</v>
      </c>
      <c r="K229" s="1">
        <v>11.6</v>
      </c>
      <c r="L229" s="1">
        <v>2.8</v>
      </c>
      <c r="M229" s="1">
        <v>-2.9</v>
      </c>
      <c r="N229" s="1">
        <v>10.1</v>
      </c>
      <c r="P229" s="4">
        <f t="shared" si="19"/>
        <v>-1.0999999999999999</v>
      </c>
      <c r="Q229" s="4">
        <f t="shared" si="20"/>
        <v>9.2999999999999989</v>
      </c>
      <c r="R229" s="4">
        <f t="shared" si="21"/>
        <v>20.399999999999999</v>
      </c>
      <c r="S229" s="4">
        <f t="shared" si="22"/>
        <v>9.7333333333333325</v>
      </c>
    </row>
    <row r="230" spans="1:19" x14ac:dyDescent="0.2">
      <c r="A230" s="1">
        <v>1999</v>
      </c>
      <c r="B230" s="1">
        <v>0.1</v>
      </c>
      <c r="C230" s="1">
        <v>-0.5</v>
      </c>
      <c r="D230" s="1">
        <v>6.3</v>
      </c>
      <c r="E230" s="1">
        <v>10.7</v>
      </c>
      <c r="F230" s="1">
        <v>15.5</v>
      </c>
      <c r="G230" s="1">
        <v>18.7</v>
      </c>
      <c r="H230" s="1">
        <v>19.3</v>
      </c>
      <c r="I230" s="1">
        <v>20</v>
      </c>
      <c r="J230" s="1">
        <v>16.3</v>
      </c>
      <c r="K230" s="1">
        <v>11</v>
      </c>
      <c r="L230" s="1">
        <v>4.0999999999999996</v>
      </c>
      <c r="M230" s="1">
        <v>1.3</v>
      </c>
      <c r="N230" s="1">
        <v>10.199999999999999</v>
      </c>
      <c r="P230" s="4">
        <f t="shared" si="19"/>
        <v>-0.40000000000000013</v>
      </c>
      <c r="Q230" s="4">
        <f t="shared" si="20"/>
        <v>10.833333333333334</v>
      </c>
      <c r="R230" s="4">
        <f t="shared" si="21"/>
        <v>19.333333333333332</v>
      </c>
      <c r="S230" s="4">
        <f t="shared" si="22"/>
        <v>10.466666666666667</v>
      </c>
    </row>
    <row r="231" spans="1:19" x14ac:dyDescent="0.2">
      <c r="A231" s="1">
        <v>2000</v>
      </c>
      <c r="B231" s="1">
        <v>-3.7</v>
      </c>
      <c r="C231" s="1">
        <v>1.2</v>
      </c>
      <c r="D231" s="1">
        <v>5</v>
      </c>
      <c r="E231" s="1">
        <v>12.7</v>
      </c>
      <c r="F231" s="1">
        <v>16.399999999999999</v>
      </c>
      <c r="G231" s="1">
        <v>19.600000000000001</v>
      </c>
      <c r="H231" s="1">
        <v>20.5</v>
      </c>
      <c r="I231" s="1">
        <v>21.9</v>
      </c>
      <c r="J231" s="1">
        <v>15.3</v>
      </c>
      <c r="K231" s="1">
        <v>12.8</v>
      </c>
      <c r="L231" s="1">
        <v>10.3</v>
      </c>
      <c r="M231" s="1">
        <v>3.2</v>
      </c>
      <c r="N231" s="1">
        <v>11.3</v>
      </c>
      <c r="P231" s="4">
        <f t="shared" si="19"/>
        <v>3.1666666666666665</v>
      </c>
      <c r="Q231" s="4">
        <f t="shared" si="20"/>
        <v>11.366666666666665</v>
      </c>
      <c r="R231" s="4">
        <f t="shared" si="21"/>
        <v>20.666666666666668</v>
      </c>
      <c r="S231" s="4">
        <f t="shared" si="22"/>
        <v>12.800000000000002</v>
      </c>
    </row>
    <row r="232" spans="1:19" x14ac:dyDescent="0.2">
      <c r="A232" s="1">
        <v>2001</v>
      </c>
      <c r="B232" s="1">
        <v>3.6</v>
      </c>
      <c r="C232" s="1">
        <v>2.7</v>
      </c>
      <c r="D232" s="1">
        <v>9.9</v>
      </c>
      <c r="E232" s="1">
        <v>9</v>
      </c>
      <c r="F232" s="1">
        <v>15.6</v>
      </c>
      <c r="G232" s="1">
        <v>16.600000000000001</v>
      </c>
      <c r="H232" s="1">
        <v>20.2</v>
      </c>
      <c r="I232" s="1">
        <v>20.8</v>
      </c>
      <c r="J232" s="1">
        <v>13</v>
      </c>
      <c r="K232" s="1">
        <v>12.6</v>
      </c>
      <c r="L232" s="1">
        <v>2.9</v>
      </c>
      <c r="M232" s="1">
        <v>-3.1</v>
      </c>
      <c r="N232" s="1">
        <v>10.3</v>
      </c>
      <c r="P232" s="4">
        <f t="shared" si="19"/>
        <v>0.26666666666666661</v>
      </c>
      <c r="Q232" s="4">
        <f t="shared" si="20"/>
        <v>11.5</v>
      </c>
      <c r="R232" s="4">
        <f t="shared" si="21"/>
        <v>19.2</v>
      </c>
      <c r="S232" s="4">
        <f t="shared" si="22"/>
        <v>9.5</v>
      </c>
    </row>
    <row r="233" spans="1:19" x14ac:dyDescent="0.2">
      <c r="A233" s="1">
        <v>2002</v>
      </c>
      <c r="B233" s="1">
        <v>-1.9</v>
      </c>
      <c r="C233" s="1">
        <v>5.8</v>
      </c>
      <c r="D233" s="1">
        <v>8.3000000000000007</v>
      </c>
      <c r="E233" s="1">
        <v>9.4</v>
      </c>
      <c r="F233" s="1">
        <v>15.6</v>
      </c>
      <c r="G233" s="1">
        <v>19.399999999999999</v>
      </c>
      <c r="H233" s="1">
        <v>20.3</v>
      </c>
      <c r="I233" s="1">
        <v>18.8</v>
      </c>
      <c r="J233" s="1">
        <v>13.4</v>
      </c>
      <c r="K233" s="1">
        <v>11.3</v>
      </c>
      <c r="L233" s="1">
        <v>9.8000000000000007</v>
      </c>
      <c r="M233" s="1">
        <v>2.4</v>
      </c>
      <c r="N233" s="1">
        <v>11.1</v>
      </c>
      <c r="P233" s="4">
        <f t="shared" si="19"/>
        <v>-0.40000000000000008</v>
      </c>
      <c r="Q233" s="4">
        <f t="shared" si="20"/>
        <v>11.100000000000001</v>
      </c>
      <c r="R233" s="4">
        <f t="shared" si="21"/>
        <v>19.5</v>
      </c>
      <c r="S233" s="4">
        <f t="shared" si="22"/>
        <v>11.5</v>
      </c>
    </row>
    <row r="234" spans="1:19" x14ac:dyDescent="0.2">
      <c r="A234" s="1">
        <v>2003</v>
      </c>
      <c r="B234" s="1">
        <v>-0.4</v>
      </c>
      <c r="C234" s="1">
        <v>-3.2</v>
      </c>
      <c r="D234" s="1">
        <v>4.8</v>
      </c>
      <c r="E234" s="1">
        <v>8.8000000000000007</v>
      </c>
      <c r="F234" s="1">
        <v>17.2</v>
      </c>
      <c r="G234" s="1">
        <v>20.399999999999999</v>
      </c>
      <c r="H234" s="1">
        <v>20.8</v>
      </c>
      <c r="I234" s="1">
        <v>22.6</v>
      </c>
      <c r="J234" s="1">
        <v>14.6</v>
      </c>
      <c r="K234" s="1">
        <v>9.5</v>
      </c>
      <c r="L234" s="1">
        <v>7.4</v>
      </c>
      <c r="M234" s="1">
        <v>0.5</v>
      </c>
      <c r="N234" s="1">
        <v>10.3</v>
      </c>
      <c r="P234" s="4">
        <f t="shared" si="19"/>
        <v>0.33333333333333331</v>
      </c>
      <c r="Q234" s="4">
        <f t="shared" si="20"/>
        <v>10.266666666666667</v>
      </c>
      <c r="R234" s="4">
        <f t="shared" si="21"/>
        <v>21.266666666666669</v>
      </c>
      <c r="S234" s="4">
        <f t="shared" si="22"/>
        <v>10.5</v>
      </c>
    </row>
    <row r="235" spans="1:19" x14ac:dyDescent="0.2">
      <c r="A235" s="1">
        <v>2004</v>
      </c>
      <c r="B235" s="1">
        <v>-1.2</v>
      </c>
      <c r="C235" s="1">
        <v>1.7</v>
      </c>
      <c r="D235" s="1">
        <v>5.3</v>
      </c>
      <c r="E235" s="1">
        <v>10.7</v>
      </c>
      <c r="F235" s="1">
        <v>12.3</v>
      </c>
      <c r="G235" s="1">
        <v>18</v>
      </c>
      <c r="H235" s="1">
        <v>20.100000000000001</v>
      </c>
      <c r="I235" s="1">
        <v>19.100000000000001</v>
      </c>
      <c r="J235" s="1">
        <v>15.2</v>
      </c>
      <c r="K235" s="1">
        <v>13.9</v>
      </c>
      <c r="L235" s="1">
        <v>4.4000000000000004</v>
      </c>
      <c r="M235" s="1">
        <v>2.2999999999999998</v>
      </c>
      <c r="N235" s="1">
        <v>10.199999999999999</v>
      </c>
      <c r="P235" s="4">
        <f t="shared" si="19"/>
        <v>-0.5</v>
      </c>
      <c r="Q235" s="4">
        <f t="shared" si="20"/>
        <v>9.4333333333333336</v>
      </c>
      <c r="R235" s="4">
        <f t="shared" si="21"/>
        <v>19.066666666666666</v>
      </c>
      <c r="S235" s="4">
        <f t="shared" si="22"/>
        <v>11.166666666666666</v>
      </c>
    </row>
    <row r="236" spans="1:19" x14ac:dyDescent="0.2">
      <c r="A236" s="1">
        <v>2005</v>
      </c>
      <c r="B236" s="1">
        <v>-0.9</v>
      </c>
      <c r="C236" s="1">
        <v>-2.9</v>
      </c>
      <c r="D236" s="1">
        <v>2.8</v>
      </c>
      <c r="E236" s="1">
        <v>9.6999999999999993</v>
      </c>
      <c r="F236" s="1">
        <v>14.7</v>
      </c>
      <c r="G236" s="1">
        <v>16.899999999999999</v>
      </c>
      <c r="H236" s="1">
        <v>19.7</v>
      </c>
      <c r="I236" s="1">
        <v>17.7</v>
      </c>
      <c r="J236" s="1">
        <v>15.2</v>
      </c>
      <c r="K236" s="1">
        <v>11</v>
      </c>
      <c r="L236" s="1">
        <v>4.8</v>
      </c>
      <c r="M236" s="1">
        <v>1</v>
      </c>
      <c r="N236" s="1">
        <v>9.1</v>
      </c>
      <c r="P236" s="4">
        <f t="shared" si="19"/>
        <v>-0.1333333333333333</v>
      </c>
      <c r="Q236" s="4">
        <f t="shared" si="20"/>
        <v>9.0666666666666664</v>
      </c>
      <c r="R236" s="4">
        <f t="shared" si="21"/>
        <v>18.099999999999998</v>
      </c>
      <c r="S236" s="4">
        <f t="shared" si="22"/>
        <v>10.333333333333334</v>
      </c>
    </row>
    <row r="237" spans="1:19" x14ac:dyDescent="0.2">
      <c r="A237" s="1">
        <v>2006</v>
      </c>
      <c r="B237" s="1">
        <v>-1.9</v>
      </c>
      <c r="C237" s="1">
        <v>0.5</v>
      </c>
      <c r="D237" s="1">
        <v>4.2</v>
      </c>
      <c r="E237" s="1">
        <v>10.7</v>
      </c>
      <c r="F237" s="1">
        <v>14.7</v>
      </c>
      <c r="G237" s="1">
        <v>16.899999999999999</v>
      </c>
      <c r="H237" s="1">
        <v>19.600000000000001</v>
      </c>
      <c r="I237" s="1">
        <v>17.899999999999999</v>
      </c>
      <c r="J237" s="1">
        <v>15.7</v>
      </c>
      <c r="K237" s="1">
        <v>12.2</v>
      </c>
      <c r="L237" s="1">
        <v>5.0999999999999996</v>
      </c>
      <c r="M237" s="1">
        <v>1.2</v>
      </c>
      <c r="N237" s="1">
        <v>9.6999999999999993</v>
      </c>
      <c r="P237" s="4">
        <f t="shared" si="19"/>
        <v>3.8666666666666671</v>
      </c>
      <c r="Q237" s="4">
        <f t="shared" si="20"/>
        <v>9.8666666666666654</v>
      </c>
      <c r="R237" s="4">
        <f t="shared" si="21"/>
        <v>18.133333333333333</v>
      </c>
      <c r="S237" s="4">
        <f t="shared" si="22"/>
        <v>11</v>
      </c>
    </row>
    <row r="238" spans="1:19" x14ac:dyDescent="0.2">
      <c r="A238" s="1">
        <v>2007</v>
      </c>
      <c r="B238" s="1">
        <v>4.7</v>
      </c>
      <c r="C238" s="1">
        <v>5.7</v>
      </c>
      <c r="D238" s="1">
        <v>7.3</v>
      </c>
      <c r="E238" s="1">
        <v>11.9</v>
      </c>
      <c r="F238" s="1">
        <v>15.9</v>
      </c>
      <c r="G238" s="1">
        <v>20.100000000000001</v>
      </c>
      <c r="H238" s="1">
        <v>22</v>
      </c>
      <c r="I238" s="1">
        <v>21.5</v>
      </c>
      <c r="J238" s="1">
        <v>13.3</v>
      </c>
      <c r="K238" s="1">
        <v>8.9</v>
      </c>
      <c r="L238" s="1">
        <v>2.4</v>
      </c>
      <c r="M238" s="1">
        <v>-1.4</v>
      </c>
      <c r="N238" s="1">
        <v>11</v>
      </c>
      <c r="P238" s="4">
        <f t="shared" si="19"/>
        <v>1.4333333333333333</v>
      </c>
      <c r="Q238" s="4">
        <f t="shared" si="20"/>
        <v>11.700000000000001</v>
      </c>
      <c r="R238" s="4">
        <f t="shared" si="21"/>
        <v>21.2</v>
      </c>
      <c r="S238" s="4">
        <f t="shared" si="22"/>
        <v>8.2000000000000011</v>
      </c>
    </row>
    <row r="239" spans="1:19" x14ac:dyDescent="0.2">
      <c r="A239" s="1">
        <v>2008</v>
      </c>
      <c r="B239" s="1">
        <v>1.9</v>
      </c>
      <c r="C239" s="1">
        <v>3.8</v>
      </c>
      <c r="D239" s="1">
        <v>6</v>
      </c>
      <c r="E239" s="1">
        <v>10.4</v>
      </c>
      <c r="F239" s="1">
        <v>15.5</v>
      </c>
      <c r="G239" s="1">
        <v>19.100000000000001</v>
      </c>
      <c r="H239" s="1">
        <v>20.3</v>
      </c>
      <c r="I239" s="1">
        <v>20.7</v>
      </c>
      <c r="J239" s="1">
        <v>14.1</v>
      </c>
      <c r="K239" s="1">
        <v>11.9</v>
      </c>
      <c r="L239" s="1">
        <v>7.3</v>
      </c>
      <c r="M239" s="1">
        <v>3.2</v>
      </c>
      <c r="N239" s="1">
        <v>11.2</v>
      </c>
      <c r="P239" s="4">
        <f t="shared" si="19"/>
        <v>1.2333333333333334</v>
      </c>
      <c r="Q239" s="4">
        <f t="shared" si="20"/>
        <v>10.633333333333333</v>
      </c>
      <c r="R239" s="4">
        <f t="shared" si="21"/>
        <v>20.033333333333335</v>
      </c>
      <c r="S239" s="4">
        <f t="shared" si="22"/>
        <v>11.1</v>
      </c>
    </row>
    <row r="240" spans="1:19" x14ac:dyDescent="0.2">
      <c r="A240" s="1">
        <v>2009</v>
      </c>
      <c r="B240" s="1">
        <v>-0.5</v>
      </c>
      <c r="C240" s="1">
        <v>1</v>
      </c>
      <c r="D240" s="1">
        <v>4.7</v>
      </c>
      <c r="E240" s="1">
        <v>12.1</v>
      </c>
      <c r="F240" s="1">
        <v>16.2</v>
      </c>
      <c r="G240" s="1">
        <v>17.8</v>
      </c>
      <c r="H240" s="1">
        <v>20.6</v>
      </c>
      <c r="I240" s="1">
        <v>20.399999999999999</v>
      </c>
      <c r="J240" s="1">
        <v>16.600000000000001</v>
      </c>
      <c r="K240" s="1">
        <v>9.1</v>
      </c>
      <c r="L240" s="1">
        <v>8.1</v>
      </c>
      <c r="M240" s="1">
        <v>3.2</v>
      </c>
      <c r="N240" s="1">
        <v>10.8</v>
      </c>
      <c r="P240" s="4">
        <f t="shared" si="19"/>
        <v>1.8</v>
      </c>
      <c r="Q240" s="4">
        <f t="shared" si="20"/>
        <v>11</v>
      </c>
      <c r="R240" s="4">
        <f t="shared" si="21"/>
        <v>19.600000000000001</v>
      </c>
      <c r="S240" s="4">
        <f t="shared" si="22"/>
        <v>11.266666666666667</v>
      </c>
    </row>
    <row r="241" spans="1:19" x14ac:dyDescent="0.2">
      <c r="A241" s="1">
        <v>2010</v>
      </c>
      <c r="B241" s="1">
        <v>0.4</v>
      </c>
      <c r="C241" s="1">
        <v>1.8</v>
      </c>
      <c r="D241" s="1">
        <v>5.2</v>
      </c>
      <c r="E241" s="1">
        <v>10.4</v>
      </c>
      <c r="F241" s="1">
        <v>14.4</v>
      </c>
      <c r="G241" s="1">
        <v>18.100000000000001</v>
      </c>
      <c r="H241" s="1">
        <v>20.8</v>
      </c>
      <c r="I241" s="1">
        <v>21.5</v>
      </c>
      <c r="J241" s="1">
        <v>15</v>
      </c>
      <c r="K241" s="1">
        <v>8.6999999999999993</v>
      </c>
      <c r="L241" s="1">
        <v>9.5</v>
      </c>
      <c r="M241" s="1">
        <v>1.5</v>
      </c>
      <c r="N241" s="1">
        <v>10.6</v>
      </c>
      <c r="P241" s="4">
        <f t="shared" si="19"/>
        <v>0.76666666666666661</v>
      </c>
      <c r="Q241" s="4">
        <f t="shared" si="20"/>
        <v>10</v>
      </c>
      <c r="R241" s="4">
        <f t="shared" si="21"/>
        <v>20.133333333333336</v>
      </c>
      <c r="S241" s="4">
        <f t="shared" si="22"/>
        <v>11.066666666666668</v>
      </c>
    </row>
    <row r="242" spans="1:19" x14ac:dyDescent="0.2">
      <c r="A242" s="1">
        <v>2011</v>
      </c>
      <c r="B242" s="1">
        <v>0.2</v>
      </c>
      <c r="C242" s="1">
        <v>0.6</v>
      </c>
      <c r="D242" s="1">
        <v>5.2</v>
      </c>
      <c r="E242" s="1">
        <v>11</v>
      </c>
      <c r="F242" s="1">
        <v>14</v>
      </c>
      <c r="G242" s="1">
        <v>18.899999999999999</v>
      </c>
      <c r="H242" s="1">
        <v>20.5</v>
      </c>
      <c r="I242" s="1">
        <v>21.7</v>
      </c>
      <c r="J242" s="1">
        <v>19.100000000000001</v>
      </c>
      <c r="K242" s="1">
        <v>9.1999999999999993</v>
      </c>
      <c r="L242" s="1">
        <v>3.7</v>
      </c>
      <c r="M242" s="1">
        <v>2.2999999999999998</v>
      </c>
      <c r="N242" s="1">
        <v>10.5</v>
      </c>
      <c r="P242" s="4">
        <f t="shared" si="19"/>
        <v>-1.2000000000000002</v>
      </c>
      <c r="Q242" s="4">
        <f t="shared" si="20"/>
        <v>10.066666666666666</v>
      </c>
      <c r="R242" s="4">
        <f t="shared" si="21"/>
        <v>20.366666666666664</v>
      </c>
      <c r="S242" s="4">
        <f t="shared" si="22"/>
        <v>10.666666666666666</v>
      </c>
    </row>
    <row r="243" spans="1:19" x14ac:dyDescent="0.2">
      <c r="A243" s="1">
        <v>2012</v>
      </c>
      <c r="B243" s="1">
        <v>-1.2</v>
      </c>
      <c r="C243" s="1">
        <v>-4.7</v>
      </c>
      <c r="D243" s="1">
        <v>6.9</v>
      </c>
      <c r="E243" s="1">
        <v>10.3</v>
      </c>
      <c r="F243" s="1">
        <v>13.7</v>
      </c>
      <c r="G243" s="1">
        <v>22</v>
      </c>
      <c r="H243" s="1">
        <v>23.5</v>
      </c>
      <c r="I243" s="1">
        <v>23.2</v>
      </c>
      <c r="J243" s="1">
        <v>18.100000000000001</v>
      </c>
      <c r="K243" s="1">
        <v>12.1</v>
      </c>
      <c r="L243" s="1">
        <v>9.1999999999999993</v>
      </c>
      <c r="M243" s="1">
        <v>0.3</v>
      </c>
      <c r="N243" s="1">
        <v>11.1</v>
      </c>
      <c r="P243" s="4">
        <f t="shared" si="19"/>
        <v>1.5333333333333332</v>
      </c>
      <c r="Q243" s="4">
        <f t="shared" si="20"/>
        <v>10.3</v>
      </c>
      <c r="R243" s="4">
        <f t="shared" si="21"/>
        <v>22.900000000000002</v>
      </c>
      <c r="S243" s="4">
        <f t="shared" si="22"/>
        <v>13.133333333333335</v>
      </c>
    </row>
    <row r="244" spans="1:19" x14ac:dyDescent="0.2">
      <c r="A244" s="1">
        <v>2013</v>
      </c>
      <c r="B244" s="1">
        <v>2</v>
      </c>
      <c r="C244" s="1">
        <v>2.2999999999999998</v>
      </c>
      <c r="D244" s="1">
        <v>5.3</v>
      </c>
      <c r="E244" s="1">
        <v>12.4</v>
      </c>
      <c r="F244" s="1">
        <v>15.2</v>
      </c>
      <c r="G244" s="1">
        <v>18.3</v>
      </c>
      <c r="H244" s="1">
        <v>20.399999999999999</v>
      </c>
      <c r="I244" s="1">
        <v>21.7</v>
      </c>
      <c r="J244" s="1">
        <v>15.4</v>
      </c>
      <c r="K244" s="1">
        <v>12.9</v>
      </c>
      <c r="L244" s="1">
        <v>7.3</v>
      </c>
      <c r="M244" s="1">
        <v>0.7</v>
      </c>
      <c r="N244" s="1">
        <v>11.2</v>
      </c>
      <c r="P244" s="4">
        <f t="shared" si="19"/>
        <v>4.5</v>
      </c>
      <c r="Q244" s="4">
        <f t="shared" si="20"/>
        <v>10.966666666666667</v>
      </c>
      <c r="R244" s="4">
        <f t="shared" si="21"/>
        <v>20.133333333333336</v>
      </c>
      <c r="S244" s="4">
        <f t="shared" si="22"/>
        <v>11.866666666666667</v>
      </c>
    </row>
    <row r="245" spans="1:19" x14ac:dyDescent="0.2">
      <c r="A245" s="1">
        <v>2014</v>
      </c>
      <c r="B245" s="1">
        <v>5</v>
      </c>
      <c r="C245" s="1">
        <v>7.8</v>
      </c>
      <c r="D245" s="1">
        <v>8.1</v>
      </c>
      <c r="E245" s="1">
        <v>10.199999999999999</v>
      </c>
      <c r="F245" s="1">
        <v>13.5</v>
      </c>
      <c r="G245" s="1">
        <v>17.5</v>
      </c>
      <c r="H245" s="1">
        <v>19.5</v>
      </c>
      <c r="I245" s="1">
        <v>19.7</v>
      </c>
      <c r="J245" s="1">
        <v>14.9</v>
      </c>
      <c r="K245" s="1">
        <v>12</v>
      </c>
      <c r="L245" s="1">
        <v>8.9</v>
      </c>
      <c r="M245" s="1">
        <v>2.7</v>
      </c>
      <c r="N245" s="1">
        <v>11.6</v>
      </c>
      <c r="P245" s="4">
        <f t="shared" si="19"/>
        <v>1.7666666666666666</v>
      </c>
      <c r="Q245" s="4">
        <f t="shared" si="20"/>
        <v>10.6</v>
      </c>
      <c r="R245" s="4">
        <f t="shared" si="21"/>
        <v>18.900000000000002</v>
      </c>
      <c r="S245" s="4">
        <f t="shared" si="22"/>
        <v>11.933333333333332</v>
      </c>
    </row>
    <row r="246" spans="1:19" x14ac:dyDescent="0.2">
      <c r="A246" s="1">
        <v>2015</v>
      </c>
      <c r="B246" s="1">
        <v>0.9</v>
      </c>
      <c r="C246" s="1">
        <v>1.7</v>
      </c>
      <c r="D246" s="1">
        <v>5.3</v>
      </c>
      <c r="E246" s="1">
        <v>9.1999999999999993</v>
      </c>
      <c r="F246" s="1">
        <v>16.100000000000001</v>
      </c>
      <c r="G246" s="1">
        <v>17.8</v>
      </c>
      <c r="H246" s="1">
        <v>23.2</v>
      </c>
      <c r="I246" s="1">
        <v>21.8</v>
      </c>
      <c r="J246" s="1">
        <v>17.600000000000001</v>
      </c>
      <c r="K246" s="1">
        <v>11.1</v>
      </c>
      <c r="L246" s="1">
        <v>6</v>
      </c>
      <c r="M246" s="1">
        <v>-0.5</v>
      </c>
      <c r="N246" s="1">
        <v>10.8</v>
      </c>
      <c r="P246" s="4">
        <f t="shared" si="19"/>
        <v>2.6999999999999997</v>
      </c>
      <c r="Q246" s="4">
        <f t="shared" si="20"/>
        <v>10.200000000000001</v>
      </c>
      <c r="R246" s="4">
        <f t="shared" si="21"/>
        <v>20.933333333333334</v>
      </c>
      <c r="S246" s="4">
        <f t="shared" si="22"/>
        <v>11.566666666666668</v>
      </c>
    </row>
    <row r="247" spans="1:19" x14ac:dyDescent="0.2">
      <c r="A247" s="1">
        <v>2016</v>
      </c>
      <c r="B247" s="1">
        <v>1.2</v>
      </c>
      <c r="C247" s="1">
        <v>7.4</v>
      </c>
      <c r="D247" s="1">
        <v>6.1</v>
      </c>
      <c r="E247" s="1">
        <v>12.9</v>
      </c>
      <c r="F247" s="1">
        <v>13.9</v>
      </c>
      <c r="G247" s="1">
        <v>19.5</v>
      </c>
      <c r="H247" s="1">
        <v>21.1</v>
      </c>
      <c r="I247" s="1">
        <v>18.600000000000001</v>
      </c>
      <c r="J247" s="1">
        <v>15.6</v>
      </c>
      <c r="K247" s="1">
        <v>9.8000000000000007</v>
      </c>
      <c r="L247" s="1">
        <v>6.1</v>
      </c>
      <c r="M247" s="1">
        <v>-0.9</v>
      </c>
      <c r="N247" s="1">
        <v>10.9</v>
      </c>
      <c r="P247" s="4">
        <f t="shared" si="19"/>
        <v>-0.16666666666666666</v>
      </c>
      <c r="Q247" s="4">
        <f t="shared" si="20"/>
        <v>10.966666666666667</v>
      </c>
      <c r="R247" s="4">
        <f t="shared" si="21"/>
        <v>19.733333333333334</v>
      </c>
      <c r="S247" s="4">
        <f t="shared" si="22"/>
        <v>10.5</v>
      </c>
    </row>
    <row r="248" spans="1:19" x14ac:dyDescent="0.2">
      <c r="A248" s="1">
        <v>2017</v>
      </c>
      <c r="B248" s="1">
        <v>-4.8</v>
      </c>
      <c r="C248" s="1">
        <v>5.2</v>
      </c>
      <c r="D248" s="1">
        <v>8.5</v>
      </c>
      <c r="E248" s="1">
        <v>9.1999999999999993</v>
      </c>
      <c r="F248" s="1">
        <v>15.3</v>
      </c>
      <c r="G248" s="1">
        <v>20.3</v>
      </c>
      <c r="H248" s="1">
        <v>21.8</v>
      </c>
      <c r="I248" s="1">
        <v>22.6</v>
      </c>
      <c r="J248" s="1">
        <v>15.5</v>
      </c>
      <c r="K248" s="1">
        <v>10.4</v>
      </c>
      <c r="L248" s="1">
        <v>5.4</v>
      </c>
      <c r="M248" s="1">
        <v>2.2000000000000002</v>
      </c>
      <c r="N248" s="2">
        <v>11</v>
      </c>
      <c r="P248" s="4">
        <f t="shared" si="19"/>
        <v>2.2999999999999998</v>
      </c>
      <c r="Q248" s="4">
        <f t="shared" si="20"/>
        <v>11</v>
      </c>
      <c r="R248" s="4">
        <f t="shared" si="21"/>
        <v>21.566666666666666</v>
      </c>
      <c r="S248" s="4">
        <f t="shared" si="22"/>
        <v>10.433333333333332</v>
      </c>
    </row>
    <row r="249" spans="1:19" x14ac:dyDescent="0.2">
      <c r="A249" s="1">
        <v>2018</v>
      </c>
      <c r="B249" s="1">
        <v>4.0999999999999996</v>
      </c>
      <c r="C249" s="1">
        <v>0.6</v>
      </c>
      <c r="D249" s="1">
        <v>5.4</v>
      </c>
      <c r="E249" s="1">
        <v>14.8</v>
      </c>
      <c r="F249" s="1">
        <v>16.600000000000001</v>
      </c>
      <c r="G249" s="1">
        <v>17.899999999999999</v>
      </c>
      <c r="H249" s="1">
        <v>19.7</v>
      </c>
      <c r="I249" s="1">
        <v>20.7</v>
      </c>
      <c r="J249" s="1">
        <v>16.2</v>
      </c>
      <c r="K249" s="1">
        <v>13.1</v>
      </c>
      <c r="L249" s="1">
        <v>7.6</v>
      </c>
      <c r="M249" s="1">
        <v>0.5</v>
      </c>
      <c r="N249" s="2">
        <v>11.4</v>
      </c>
      <c r="P249" s="4">
        <f t="shared" si="19"/>
        <v>0.5</v>
      </c>
      <c r="Q249" s="4">
        <f t="shared" si="20"/>
        <v>12.266666666666667</v>
      </c>
      <c r="R249" s="4">
        <f t="shared" si="21"/>
        <v>19.433333333333334</v>
      </c>
      <c r="S249" s="4">
        <f t="shared" si="22"/>
        <v>12.299999999999999</v>
      </c>
    </row>
    <row r="250" spans="1:19" x14ac:dyDescent="0.2">
      <c r="A250" s="1">
        <v>2019</v>
      </c>
      <c r="B250" s="2">
        <v>-1.5</v>
      </c>
      <c r="C250" s="2">
        <v>2.5</v>
      </c>
      <c r="D250" s="2">
        <v>7.7</v>
      </c>
      <c r="E250" s="2">
        <v>11.4</v>
      </c>
      <c r="F250" s="2">
        <v>12.3</v>
      </c>
      <c r="G250" s="2">
        <v>21.1</v>
      </c>
      <c r="H250" s="2">
        <v>21</v>
      </c>
      <c r="I250" s="2">
        <v>21.9</v>
      </c>
      <c r="J250" s="2">
        <v>16.5</v>
      </c>
      <c r="K250" s="2">
        <v>12.9</v>
      </c>
      <c r="L250" s="2">
        <v>10.6</v>
      </c>
      <c r="M250" s="2">
        <v>3.6</v>
      </c>
      <c r="N250" s="2">
        <v>11.7</v>
      </c>
      <c r="O250" s="4"/>
      <c r="P250" s="4">
        <f t="shared" si="19"/>
        <v>2.6666666666666665</v>
      </c>
      <c r="Q250" s="4">
        <f t="shared" si="20"/>
        <v>10.466666666666667</v>
      </c>
      <c r="R250" s="4">
        <f t="shared" si="21"/>
        <v>21.333333333333332</v>
      </c>
      <c r="S250" s="4">
        <f t="shared" si="22"/>
        <v>13.333333333333334</v>
      </c>
    </row>
    <row r="251" spans="1:19" x14ac:dyDescent="0.2">
      <c r="A251" s="1">
        <v>2020</v>
      </c>
      <c r="B251" s="1">
        <v>-0.6</v>
      </c>
      <c r="C251" s="1">
        <v>5</v>
      </c>
      <c r="D251" s="1">
        <v>6.5</v>
      </c>
      <c r="E251" s="1">
        <v>11.5</v>
      </c>
      <c r="F251" s="1">
        <v>14.2</v>
      </c>
      <c r="G251" s="1">
        <v>18.100000000000001</v>
      </c>
      <c r="H251" s="1">
        <v>20.100000000000001</v>
      </c>
      <c r="I251" s="1">
        <v>21.1</v>
      </c>
      <c r="J251" s="1">
        <v>17.5</v>
      </c>
      <c r="K251" s="1">
        <v>11.7</v>
      </c>
      <c r="L251" s="1">
        <v>5.3</v>
      </c>
      <c r="M251" s="1">
        <v>4.5</v>
      </c>
      <c r="N251" s="2">
        <v>11.2</v>
      </c>
      <c r="P251" s="4"/>
      <c r="Q251" s="4">
        <f t="shared" si="20"/>
        <v>10.733333333333334</v>
      </c>
      <c r="R251" s="4">
        <f t="shared" si="21"/>
        <v>19.766666666666669</v>
      </c>
      <c r="S251" s="4">
        <f t="shared" si="22"/>
        <v>11.5</v>
      </c>
    </row>
    <row r="252" spans="1:19" x14ac:dyDescent="0.2">
      <c r="N252" s="4">
        <f>AVERAGE(N192:N251)</f>
        <v>10.046666666666669</v>
      </c>
      <c r="O252" s="4" t="e">
        <f t="shared" ref="O252:S252" si="23">AVERAGE(O192:O251)</f>
        <v>#DIV/0!</v>
      </c>
      <c r="P252" s="4">
        <f t="shared" si="23"/>
        <v>0.6745762711864407</v>
      </c>
      <c r="Q252" s="4">
        <f t="shared" si="23"/>
        <v>9.9327777777777797</v>
      </c>
      <c r="R252" s="4">
        <f t="shared" si="23"/>
        <v>18.967222222222222</v>
      </c>
      <c r="S252" s="4">
        <f t="shared" si="23"/>
        <v>10.601111111111107</v>
      </c>
    </row>
    <row r="256" spans="1:19" x14ac:dyDescent="0.2">
      <c r="A256" s="1" t="s">
        <v>34</v>
      </c>
      <c r="B256" s="1" t="s">
        <v>17</v>
      </c>
      <c r="C256" s="1" t="s">
        <v>18</v>
      </c>
      <c r="D256" s="1" t="s">
        <v>19</v>
      </c>
      <c r="E256" s="1" t="s">
        <v>20</v>
      </c>
      <c r="F256" s="1" t="s">
        <v>21</v>
      </c>
      <c r="G256" s="1" t="s">
        <v>22</v>
      </c>
      <c r="H256" s="1" t="s">
        <v>23</v>
      </c>
      <c r="I256" s="1" t="s">
        <v>24</v>
      </c>
      <c r="J256" s="1" t="s">
        <v>25</v>
      </c>
      <c r="K256" s="1" t="s">
        <v>26</v>
      </c>
      <c r="L256" s="1" t="s">
        <v>27</v>
      </c>
      <c r="M256" s="1" t="s">
        <v>28</v>
      </c>
      <c r="N256" s="8" t="s">
        <v>35</v>
      </c>
      <c r="O256" s="8"/>
      <c r="P256" s="9" t="s">
        <v>36</v>
      </c>
      <c r="Q256" s="9" t="s">
        <v>37</v>
      </c>
      <c r="R256" s="9" t="s">
        <v>38</v>
      </c>
      <c r="S256" s="9" t="s">
        <v>39</v>
      </c>
    </row>
    <row r="257" spans="1:19" x14ac:dyDescent="0.2">
      <c r="A257" s="1">
        <v>1961</v>
      </c>
      <c r="B257" s="1">
        <v>-6.8</v>
      </c>
      <c r="C257" s="1">
        <v>-5.7</v>
      </c>
      <c r="D257" s="1">
        <v>-4.0999999999999996</v>
      </c>
      <c r="E257" s="1">
        <v>2</v>
      </c>
      <c r="F257" s="1">
        <v>2.2000000000000002</v>
      </c>
      <c r="G257" s="1">
        <v>7.6</v>
      </c>
      <c r="H257" s="1">
        <v>8.5</v>
      </c>
      <c r="I257" s="1">
        <v>9.5</v>
      </c>
      <c r="J257" s="1">
        <v>8.3000000000000007</v>
      </c>
      <c r="K257" s="1">
        <v>4</v>
      </c>
      <c r="L257" s="1">
        <v>-0.5</v>
      </c>
      <c r="M257" s="1">
        <v>-5.8</v>
      </c>
      <c r="N257" s="1">
        <v>1.6</v>
      </c>
      <c r="O257" s="2">
        <f>AVERAGE(S257:S261)</f>
        <v>3.2000000000000006</v>
      </c>
      <c r="P257" s="4">
        <f>AVERAGE(M257,B258,C258)</f>
        <v>-6.666666666666667</v>
      </c>
      <c r="Q257" s="4">
        <f>AVERAGE(D257:F257)</f>
        <v>3.3333333333333513E-2</v>
      </c>
      <c r="R257" s="20">
        <f>AVERAGE(G257:I257)</f>
        <v>8.5333333333333332</v>
      </c>
      <c r="S257" s="4">
        <f>AVERAGE(J257:L257)</f>
        <v>3.9333333333333336</v>
      </c>
    </row>
    <row r="258" spans="1:19" x14ac:dyDescent="0.2">
      <c r="A258" s="1">
        <v>1962</v>
      </c>
      <c r="B258" s="1">
        <v>-5.3</v>
      </c>
      <c r="C258" s="1">
        <v>-8.9</v>
      </c>
      <c r="D258" s="1">
        <v>-6</v>
      </c>
      <c r="E258" s="1">
        <v>-0.2</v>
      </c>
      <c r="F258" s="1">
        <v>4.4000000000000004</v>
      </c>
      <c r="G258" s="1">
        <v>5.8</v>
      </c>
      <c r="H258" s="1">
        <v>9.9</v>
      </c>
      <c r="I258" s="1">
        <v>12.4</v>
      </c>
      <c r="J258" s="1">
        <v>7.2</v>
      </c>
      <c r="K258" s="1">
        <v>3</v>
      </c>
      <c r="L258" s="1">
        <v>-1.2</v>
      </c>
      <c r="M258" s="1">
        <v>-7.9</v>
      </c>
      <c r="N258" s="1">
        <v>1.2</v>
      </c>
      <c r="O258" s="2">
        <f>AVERAGE(S262:S266)</f>
        <v>3.3199999999999994</v>
      </c>
      <c r="P258" s="4">
        <f t="shared" ref="P258:P315" si="24">AVERAGE(M258,B259,C259)</f>
        <v>-8.5</v>
      </c>
      <c r="Q258" s="4">
        <f t="shared" ref="Q258:Q316" si="25">AVERAGE(D258:F258)</f>
        <v>-0.6</v>
      </c>
      <c r="R258" s="20">
        <f t="shared" ref="R258:R316" si="26">AVERAGE(G258:I258)</f>
        <v>9.3666666666666671</v>
      </c>
      <c r="S258" s="4">
        <f t="shared" ref="S258:S316" si="27">AVERAGE(J258:L258)</f>
        <v>3</v>
      </c>
    </row>
    <row r="259" spans="1:19" x14ac:dyDescent="0.2">
      <c r="A259" s="1">
        <v>1963</v>
      </c>
      <c r="B259" s="1">
        <v>-10.199999999999999</v>
      </c>
      <c r="C259" s="1">
        <v>-7.4</v>
      </c>
      <c r="D259" s="1">
        <v>-6.2</v>
      </c>
      <c r="E259" s="1">
        <v>-0.3</v>
      </c>
      <c r="F259" s="1">
        <v>3.2</v>
      </c>
      <c r="G259" s="1">
        <v>8.9</v>
      </c>
      <c r="H259" s="1">
        <v>10.6</v>
      </c>
      <c r="I259" s="1">
        <v>11.9</v>
      </c>
      <c r="J259" s="1">
        <v>8.8000000000000007</v>
      </c>
      <c r="K259" s="1">
        <v>1.3</v>
      </c>
      <c r="L259" s="1">
        <v>1.5</v>
      </c>
      <c r="M259" s="1">
        <v>-3.8</v>
      </c>
      <c r="N259" s="1">
        <v>1.5</v>
      </c>
      <c r="O259" s="2">
        <f>AVERAGE(S267:S271)</f>
        <v>1.3533333333333331</v>
      </c>
      <c r="P259" s="4">
        <f t="shared" si="24"/>
        <v>-6.1999999999999993</v>
      </c>
      <c r="Q259" s="4">
        <f t="shared" si="25"/>
        <v>-1.0999999999999999</v>
      </c>
      <c r="R259" s="20">
        <f t="shared" si="26"/>
        <v>10.466666666666667</v>
      </c>
      <c r="S259" s="4">
        <f t="shared" si="27"/>
        <v>3.8666666666666671</v>
      </c>
    </row>
    <row r="260" spans="1:19" x14ac:dyDescent="0.2">
      <c r="A260" s="1">
        <v>1964</v>
      </c>
      <c r="B260" s="1">
        <v>-7.6</v>
      </c>
      <c r="C260" s="1">
        <v>-7.2</v>
      </c>
      <c r="D260" s="1">
        <v>-3.7</v>
      </c>
      <c r="E260" s="1">
        <v>-1.3</v>
      </c>
      <c r="F260" s="1">
        <v>2.8</v>
      </c>
      <c r="G260" s="1">
        <v>9.1</v>
      </c>
      <c r="H260" s="1">
        <v>8.4</v>
      </c>
      <c r="I260" s="1">
        <v>8.6999999999999993</v>
      </c>
      <c r="J260" s="1">
        <v>5.2</v>
      </c>
      <c r="K260" s="1">
        <v>2.1</v>
      </c>
      <c r="L260" s="1">
        <v>-0.8</v>
      </c>
      <c r="M260" s="1">
        <v>-3.5</v>
      </c>
      <c r="N260" s="1">
        <v>1</v>
      </c>
      <c r="O260" s="2">
        <f>AVERAGE(S272:S276)</f>
        <v>2.4799999999999995</v>
      </c>
      <c r="P260" s="4">
        <f t="shared" si="24"/>
        <v>-7.6000000000000005</v>
      </c>
      <c r="Q260" s="4">
        <f t="shared" si="25"/>
        <v>-0.73333333333333339</v>
      </c>
      <c r="R260" s="20">
        <f t="shared" si="26"/>
        <v>8.7333333333333325</v>
      </c>
      <c r="S260" s="4">
        <f t="shared" si="27"/>
        <v>2.166666666666667</v>
      </c>
    </row>
    <row r="261" spans="1:19" x14ac:dyDescent="0.2">
      <c r="A261" s="1">
        <v>1965</v>
      </c>
      <c r="B261" s="1">
        <v>-5.9</v>
      </c>
      <c r="C261" s="1">
        <v>-13.4</v>
      </c>
      <c r="D261" s="1">
        <v>-4.8</v>
      </c>
      <c r="E261" s="1">
        <v>-2.7</v>
      </c>
      <c r="F261" s="1">
        <v>1.8</v>
      </c>
      <c r="G261" s="1">
        <v>7.4</v>
      </c>
      <c r="H261" s="1">
        <v>11.2</v>
      </c>
      <c r="I261" s="1">
        <v>7.9</v>
      </c>
      <c r="J261" s="1">
        <v>7.1</v>
      </c>
      <c r="K261" s="1">
        <v>3.2</v>
      </c>
      <c r="L261" s="1">
        <v>-1.2</v>
      </c>
      <c r="M261" s="1">
        <v>-4.3</v>
      </c>
      <c r="N261" s="1">
        <v>0.5</v>
      </c>
      <c r="O261" s="2">
        <f>AVERAGE(S277:S281)</f>
        <v>2.9933333333333332</v>
      </c>
      <c r="P261" s="4">
        <f t="shared" si="24"/>
        <v>-5.2333333333333334</v>
      </c>
      <c r="Q261" s="4">
        <f t="shared" si="25"/>
        <v>-1.9000000000000001</v>
      </c>
      <c r="R261" s="20">
        <f t="shared" si="26"/>
        <v>8.8333333333333339</v>
      </c>
      <c r="S261" s="4">
        <f t="shared" si="27"/>
        <v>3.0333333333333337</v>
      </c>
    </row>
    <row r="262" spans="1:19" x14ac:dyDescent="0.2">
      <c r="A262" s="1">
        <v>1966</v>
      </c>
      <c r="B262" s="1">
        <v>-9.3000000000000007</v>
      </c>
      <c r="C262" s="1">
        <v>-2.1</v>
      </c>
      <c r="D262" s="1">
        <v>-6.4</v>
      </c>
      <c r="E262" s="1">
        <v>0.2</v>
      </c>
      <c r="F262" s="1">
        <v>3.2</v>
      </c>
      <c r="G262" s="1">
        <v>7.4</v>
      </c>
      <c r="H262" s="1">
        <v>9.3000000000000007</v>
      </c>
      <c r="I262" s="1">
        <v>9.9</v>
      </c>
      <c r="J262" s="1">
        <v>7.4</v>
      </c>
      <c r="K262" s="1">
        <v>5.3</v>
      </c>
      <c r="L262" s="1">
        <v>-1.8</v>
      </c>
      <c r="M262" s="1">
        <v>-6.4</v>
      </c>
      <c r="N262" s="1">
        <v>1.4</v>
      </c>
      <c r="O262" s="2">
        <f>AVERAGE(S282:S286)</f>
        <v>2.7466666666666666</v>
      </c>
      <c r="P262" s="4">
        <f t="shared" si="24"/>
        <v>-7.4666666666666659</v>
      </c>
      <c r="Q262" s="4">
        <f t="shared" si="25"/>
        <v>-1</v>
      </c>
      <c r="R262" s="20">
        <f t="shared" si="26"/>
        <v>8.8666666666666671</v>
      </c>
      <c r="S262" s="4">
        <f t="shared" si="27"/>
        <v>3.6333333333333329</v>
      </c>
    </row>
    <row r="263" spans="1:19" x14ac:dyDescent="0.2">
      <c r="A263" s="1">
        <v>1967</v>
      </c>
      <c r="B263" s="1">
        <v>-8.1</v>
      </c>
      <c r="C263" s="1">
        <v>-7.9</v>
      </c>
      <c r="D263" s="1">
        <v>-4.5</v>
      </c>
      <c r="E263" s="1">
        <v>-2.5</v>
      </c>
      <c r="F263" s="1">
        <v>3.8</v>
      </c>
      <c r="G263" s="1">
        <v>6.6</v>
      </c>
      <c r="H263" s="1">
        <v>10.5</v>
      </c>
      <c r="I263" s="1">
        <v>11</v>
      </c>
      <c r="J263" s="1">
        <v>8.1</v>
      </c>
      <c r="K263" s="1">
        <v>5.4</v>
      </c>
      <c r="L263" s="1">
        <v>-0.3</v>
      </c>
      <c r="M263" s="1">
        <v>-7</v>
      </c>
      <c r="N263" s="1">
        <v>1.2</v>
      </c>
      <c r="O263" s="2">
        <f>AVERAGE(S287:S291)</f>
        <v>3.0047024360160317</v>
      </c>
      <c r="P263" s="4">
        <f t="shared" si="24"/>
        <v>-7.2666666666666666</v>
      </c>
      <c r="Q263" s="4">
        <f t="shared" si="25"/>
        <v>-1.0666666666666667</v>
      </c>
      <c r="R263" s="20">
        <f t="shared" si="26"/>
        <v>9.3666666666666671</v>
      </c>
      <c r="S263" s="4">
        <f t="shared" si="27"/>
        <v>4.3999999999999995</v>
      </c>
    </row>
    <row r="264" spans="1:19" x14ac:dyDescent="0.2">
      <c r="A264" s="1">
        <v>1968</v>
      </c>
      <c r="B264" s="1">
        <v>-10</v>
      </c>
      <c r="C264" s="1">
        <v>-4.8</v>
      </c>
      <c r="D264" s="1">
        <v>-5.0999999999999996</v>
      </c>
      <c r="E264" s="1">
        <v>1.7</v>
      </c>
      <c r="F264" s="1">
        <v>6.9</v>
      </c>
      <c r="G264" s="1">
        <v>7.9</v>
      </c>
      <c r="H264" s="1">
        <v>9.1</v>
      </c>
      <c r="I264" s="1">
        <v>7.4</v>
      </c>
      <c r="J264" s="1">
        <v>5.7</v>
      </c>
      <c r="K264" s="1">
        <v>2.8</v>
      </c>
      <c r="L264" s="1">
        <v>-1.1000000000000001</v>
      </c>
      <c r="M264" s="1">
        <v>-4.9000000000000004</v>
      </c>
      <c r="N264" s="1">
        <v>1.3</v>
      </c>
      <c r="O264" s="2">
        <f>AVERAGE(S292:S296)</f>
        <v>2.5736910268270092</v>
      </c>
      <c r="P264" s="4">
        <f t="shared" si="24"/>
        <v>-5.8</v>
      </c>
      <c r="Q264" s="4">
        <f t="shared" si="25"/>
        <v>1.166666666666667</v>
      </c>
      <c r="R264" s="20">
        <f t="shared" si="26"/>
        <v>8.1333333333333329</v>
      </c>
      <c r="S264" s="4">
        <f t="shared" si="27"/>
        <v>2.4666666666666668</v>
      </c>
    </row>
    <row r="265" spans="1:19" x14ac:dyDescent="0.2">
      <c r="A265" s="1">
        <v>1969</v>
      </c>
      <c r="B265" s="1">
        <v>-7.1</v>
      </c>
      <c r="C265" s="1">
        <v>-5.4</v>
      </c>
      <c r="D265" s="1">
        <v>-4.0999999999999996</v>
      </c>
      <c r="E265" s="1">
        <v>-1.6</v>
      </c>
      <c r="F265" s="1">
        <v>7</v>
      </c>
      <c r="G265" s="1">
        <v>6</v>
      </c>
      <c r="H265" s="1">
        <v>7.8</v>
      </c>
      <c r="I265" s="1">
        <v>8.6</v>
      </c>
      <c r="J265" s="1">
        <v>7.3</v>
      </c>
      <c r="K265" s="1">
        <v>2.8</v>
      </c>
      <c r="L265" s="1">
        <v>0.1</v>
      </c>
      <c r="M265" s="1">
        <v>-6.4</v>
      </c>
      <c r="N265" s="1">
        <v>1.2</v>
      </c>
      <c r="O265" s="2">
        <f>AVERAGE(S297:S301)</f>
        <v>2.38</v>
      </c>
      <c r="P265" s="4">
        <f t="shared" si="24"/>
        <v>-6.1000000000000005</v>
      </c>
      <c r="Q265" s="4">
        <f t="shared" si="25"/>
        <v>0.43333333333333357</v>
      </c>
      <c r="R265" s="20">
        <f t="shared" si="26"/>
        <v>7.4666666666666659</v>
      </c>
      <c r="S265" s="4">
        <f t="shared" si="27"/>
        <v>3.4</v>
      </c>
    </row>
    <row r="266" spans="1:19" x14ac:dyDescent="0.2">
      <c r="A266" s="1">
        <v>1970</v>
      </c>
      <c r="B266" s="1">
        <v>-4.5</v>
      </c>
      <c r="C266" s="1">
        <v>-7.4</v>
      </c>
      <c r="D266" s="1">
        <v>-5.7</v>
      </c>
      <c r="E266" s="1">
        <v>-1.3</v>
      </c>
      <c r="F266" s="1">
        <v>0.2</v>
      </c>
      <c r="G266" s="1">
        <v>7.7</v>
      </c>
      <c r="H266" s="1">
        <v>9</v>
      </c>
      <c r="I266" s="1">
        <v>10.1</v>
      </c>
      <c r="J266" s="1">
        <v>6.6</v>
      </c>
      <c r="K266" s="1">
        <v>1.5</v>
      </c>
      <c r="L266" s="1">
        <v>0</v>
      </c>
      <c r="M266" s="1">
        <v>-4.7</v>
      </c>
      <c r="N266" s="1">
        <v>1</v>
      </c>
      <c r="O266" s="2">
        <f>AVERAGE(S302:S306)</f>
        <v>2.4066666666666667</v>
      </c>
      <c r="P266" s="4">
        <f t="shared" si="24"/>
        <v>-5.5333333333333341</v>
      </c>
      <c r="Q266" s="4">
        <f t="shared" si="25"/>
        <v>-2.2666666666666666</v>
      </c>
      <c r="R266" s="20">
        <f t="shared" si="26"/>
        <v>8.9333333333333318</v>
      </c>
      <c r="S266" s="4">
        <f t="shared" si="27"/>
        <v>2.6999999999999997</v>
      </c>
    </row>
    <row r="267" spans="1:19" x14ac:dyDescent="0.2">
      <c r="A267" s="1">
        <v>1971</v>
      </c>
      <c r="B267" s="1">
        <v>-3.5</v>
      </c>
      <c r="C267" s="1">
        <v>-8.4</v>
      </c>
      <c r="D267" s="1">
        <v>-7.1</v>
      </c>
      <c r="E267" s="1">
        <v>-0.4</v>
      </c>
      <c r="F267" s="1">
        <v>5.7</v>
      </c>
      <c r="G267" s="1">
        <v>7.2</v>
      </c>
      <c r="H267" s="1">
        <v>8.6</v>
      </c>
      <c r="I267" s="1">
        <v>11.9</v>
      </c>
      <c r="J267" s="1">
        <v>3.7</v>
      </c>
      <c r="K267" s="1">
        <v>1</v>
      </c>
      <c r="L267" s="1">
        <v>-2.9</v>
      </c>
      <c r="M267" s="1">
        <v>-3.7</v>
      </c>
      <c r="N267" s="1">
        <v>1</v>
      </c>
      <c r="O267" s="2">
        <f>AVERAGE(S307:S311)</f>
        <v>4.1266666666666669</v>
      </c>
      <c r="P267" s="4">
        <f t="shared" si="24"/>
        <v>-3.6999999999999997</v>
      </c>
      <c r="Q267" s="4">
        <f t="shared" si="25"/>
        <v>-0.6</v>
      </c>
      <c r="R267" s="20">
        <f t="shared" si="26"/>
        <v>9.2333333333333343</v>
      </c>
      <c r="S267" s="4">
        <f t="shared" si="27"/>
        <v>0.60000000000000009</v>
      </c>
    </row>
    <row r="268" spans="1:19" x14ac:dyDescent="0.2">
      <c r="A268" s="1">
        <v>1972</v>
      </c>
      <c r="B268" s="1">
        <v>-4.0999999999999996</v>
      </c>
      <c r="C268" s="1">
        <v>-3.3</v>
      </c>
      <c r="D268" s="1">
        <v>-1.5</v>
      </c>
      <c r="E268" s="1">
        <v>2.4</v>
      </c>
      <c r="F268" s="1">
        <v>3.7</v>
      </c>
      <c r="G268" s="1">
        <v>8.9</v>
      </c>
      <c r="H268" s="1">
        <v>9</v>
      </c>
      <c r="I268" s="1">
        <v>8.1</v>
      </c>
      <c r="J268" s="1">
        <v>3.1</v>
      </c>
      <c r="K268" s="1">
        <v>-2.2000000000000002</v>
      </c>
      <c r="L268" s="1">
        <v>-1.4</v>
      </c>
      <c r="M268" s="1">
        <v>-3.4</v>
      </c>
      <c r="N268" s="1">
        <v>1.6</v>
      </c>
      <c r="P268" s="4">
        <f t="shared" si="24"/>
        <v>-5.5</v>
      </c>
      <c r="Q268" s="4">
        <f t="shared" si="25"/>
        <v>1.5333333333333332</v>
      </c>
      <c r="R268" s="20">
        <f t="shared" si="26"/>
        <v>8.6666666666666661</v>
      </c>
      <c r="S268" s="4">
        <f t="shared" si="27"/>
        <v>-0.16666666666666666</v>
      </c>
    </row>
    <row r="269" spans="1:19" x14ac:dyDescent="0.2">
      <c r="A269" s="1">
        <v>1973</v>
      </c>
      <c r="B269" s="1">
        <v>-5.9</v>
      </c>
      <c r="C269" s="1">
        <v>-7.2</v>
      </c>
      <c r="D269" s="1">
        <v>-7.2</v>
      </c>
      <c r="E269" s="1">
        <v>-3.4</v>
      </c>
      <c r="F269" s="1">
        <v>4.9000000000000004</v>
      </c>
      <c r="G269" s="1">
        <v>7.4</v>
      </c>
      <c r="H269" s="1">
        <v>9.3000000000000007</v>
      </c>
      <c r="I269" s="1">
        <v>9.3000000000000007</v>
      </c>
      <c r="J269" s="1">
        <v>8.1</v>
      </c>
      <c r="K269" s="1">
        <v>2.2999999999999998</v>
      </c>
      <c r="L269" s="1">
        <v>-3.8</v>
      </c>
      <c r="M269" s="1">
        <v>-5.9</v>
      </c>
      <c r="N269" s="1">
        <v>0.7</v>
      </c>
      <c r="P269" s="4">
        <f t="shared" si="24"/>
        <v>-5.166666666666667</v>
      </c>
      <c r="Q269" s="4">
        <f t="shared" si="25"/>
        <v>-1.8999999999999997</v>
      </c>
      <c r="R269" s="20">
        <f t="shared" si="26"/>
        <v>8.6666666666666679</v>
      </c>
      <c r="S269" s="4">
        <f t="shared" si="27"/>
        <v>2.1999999999999997</v>
      </c>
    </row>
    <row r="270" spans="1:19" x14ac:dyDescent="0.2">
      <c r="A270" s="1">
        <v>1974</v>
      </c>
      <c r="B270" s="1">
        <v>-5.0999999999999996</v>
      </c>
      <c r="C270" s="1">
        <v>-4.5</v>
      </c>
      <c r="D270" s="1">
        <v>-1.5</v>
      </c>
      <c r="E270" s="1">
        <v>-2.9</v>
      </c>
      <c r="F270" s="1">
        <v>1.7</v>
      </c>
      <c r="G270" s="1">
        <v>5.7</v>
      </c>
      <c r="H270" s="1">
        <v>9.4</v>
      </c>
      <c r="I270" s="1">
        <v>11</v>
      </c>
      <c r="J270" s="1">
        <v>7.2</v>
      </c>
      <c r="K270" s="1">
        <v>-0.9</v>
      </c>
      <c r="L270" s="1">
        <v>-2.2000000000000002</v>
      </c>
      <c r="M270" s="1">
        <v>-4.7</v>
      </c>
      <c r="N270" s="1">
        <v>1.1000000000000001</v>
      </c>
      <c r="P270" s="4">
        <f t="shared" si="24"/>
        <v>-6.1333333333333329</v>
      </c>
      <c r="Q270" s="4">
        <f t="shared" si="25"/>
        <v>-0.9</v>
      </c>
      <c r="R270" s="20">
        <f t="shared" si="26"/>
        <v>8.7000000000000011</v>
      </c>
      <c r="S270" s="4">
        <f t="shared" si="27"/>
        <v>1.3666666666666665</v>
      </c>
    </row>
    <row r="271" spans="1:19" x14ac:dyDescent="0.2">
      <c r="A271" s="1">
        <v>1975</v>
      </c>
      <c r="B271" s="1">
        <v>-5</v>
      </c>
      <c r="C271" s="1">
        <v>-8.6999999999999993</v>
      </c>
      <c r="D271" s="1">
        <v>-3.3</v>
      </c>
      <c r="E271" s="1">
        <v>-2</v>
      </c>
      <c r="F271" s="1">
        <v>4.9000000000000004</v>
      </c>
      <c r="G271" s="1">
        <v>6.8</v>
      </c>
      <c r="H271" s="1">
        <v>9.1999999999999993</v>
      </c>
      <c r="I271" s="1">
        <v>7.9</v>
      </c>
      <c r="J271" s="1">
        <v>9.1999999999999993</v>
      </c>
      <c r="K271" s="1">
        <v>1.7</v>
      </c>
      <c r="L271" s="1">
        <v>-2.6</v>
      </c>
      <c r="M271" s="1">
        <v>-4</v>
      </c>
      <c r="N271" s="1">
        <v>1.2</v>
      </c>
      <c r="P271" s="4">
        <f t="shared" si="24"/>
        <v>-5.4666666666666659</v>
      </c>
      <c r="Q271" s="4">
        <f t="shared" si="25"/>
        <v>-0.13333333333333316</v>
      </c>
      <c r="R271" s="20">
        <f t="shared" si="26"/>
        <v>7.9666666666666659</v>
      </c>
      <c r="S271" s="4">
        <f t="shared" si="27"/>
        <v>2.7666666666666662</v>
      </c>
    </row>
    <row r="272" spans="1:19" x14ac:dyDescent="0.2">
      <c r="A272" s="1">
        <v>1976</v>
      </c>
      <c r="B272" s="1">
        <v>-7.1</v>
      </c>
      <c r="C272" s="1">
        <v>-5.3</v>
      </c>
      <c r="D272" s="1">
        <v>-6.8</v>
      </c>
      <c r="E272" s="1">
        <v>-0.8</v>
      </c>
      <c r="F272" s="1">
        <v>4.0999999999999996</v>
      </c>
      <c r="G272" s="1">
        <v>5.7</v>
      </c>
      <c r="H272" s="1">
        <v>9.1</v>
      </c>
      <c r="I272" s="1">
        <v>5.8</v>
      </c>
      <c r="J272" s="1">
        <v>4.5999999999999996</v>
      </c>
      <c r="K272" s="1">
        <v>5.4</v>
      </c>
      <c r="L272" s="1">
        <v>-2.2000000000000002</v>
      </c>
      <c r="M272" s="1">
        <v>-5.3</v>
      </c>
      <c r="N272" s="1">
        <v>0.6</v>
      </c>
      <c r="P272" s="4">
        <f t="shared" si="24"/>
        <v>-4.333333333333333</v>
      </c>
      <c r="Q272" s="4">
        <f t="shared" si="25"/>
        <v>-1.1666666666666667</v>
      </c>
      <c r="R272" s="20">
        <f t="shared" si="26"/>
        <v>6.8666666666666671</v>
      </c>
      <c r="S272" s="4">
        <f t="shared" si="27"/>
        <v>2.6</v>
      </c>
    </row>
    <row r="273" spans="1:19" x14ac:dyDescent="0.2">
      <c r="A273" s="1">
        <v>1977</v>
      </c>
      <c r="B273" s="1">
        <v>-4.4000000000000004</v>
      </c>
      <c r="C273" s="1">
        <v>-3.3</v>
      </c>
      <c r="D273" s="1">
        <v>-0.6</v>
      </c>
      <c r="E273" s="1">
        <v>-1.9</v>
      </c>
      <c r="F273" s="1">
        <v>4.7</v>
      </c>
      <c r="G273" s="1">
        <v>7.2</v>
      </c>
      <c r="H273" s="1">
        <v>9.9</v>
      </c>
      <c r="I273" s="1">
        <v>9.6999999999999993</v>
      </c>
      <c r="J273" s="1">
        <v>4.3</v>
      </c>
      <c r="K273" s="1">
        <v>4.4000000000000004</v>
      </c>
      <c r="L273" s="1">
        <v>-0.5</v>
      </c>
      <c r="M273" s="1">
        <v>-5.8</v>
      </c>
      <c r="N273" s="1">
        <v>2</v>
      </c>
      <c r="P273" s="4">
        <f t="shared" si="24"/>
        <v>-6</v>
      </c>
      <c r="Q273" s="4">
        <f t="shared" si="25"/>
        <v>0.73333333333333339</v>
      </c>
      <c r="R273" s="20">
        <f t="shared" si="26"/>
        <v>8.9333333333333336</v>
      </c>
      <c r="S273" s="4">
        <f t="shared" si="27"/>
        <v>2.7333333333333329</v>
      </c>
    </row>
    <row r="274" spans="1:19" x14ac:dyDescent="0.2">
      <c r="A274" s="1">
        <v>1978</v>
      </c>
      <c r="B274" s="1">
        <v>-6</v>
      </c>
      <c r="C274" s="1">
        <v>-6.2</v>
      </c>
      <c r="D274" s="1">
        <v>-4.2</v>
      </c>
      <c r="E274" s="1">
        <v>-1.6</v>
      </c>
      <c r="F274" s="1">
        <v>1.6</v>
      </c>
      <c r="G274" s="1">
        <v>6.9</v>
      </c>
      <c r="H274" s="1">
        <v>8.4</v>
      </c>
      <c r="I274" s="1">
        <v>8.5</v>
      </c>
      <c r="J274" s="1">
        <v>4.4000000000000004</v>
      </c>
      <c r="K274" s="1">
        <v>1.5</v>
      </c>
      <c r="L274" s="1">
        <v>-0.7</v>
      </c>
      <c r="M274" s="1">
        <v>-3.6</v>
      </c>
      <c r="N274" s="1">
        <v>0.8</v>
      </c>
      <c r="P274" s="4">
        <f t="shared" si="24"/>
        <v>-5.3666666666666671</v>
      </c>
      <c r="Q274" s="4">
        <f t="shared" si="25"/>
        <v>-1.4000000000000004</v>
      </c>
      <c r="R274" s="20">
        <f t="shared" si="26"/>
        <v>7.9333333333333336</v>
      </c>
      <c r="S274" s="4">
        <f t="shared" si="27"/>
        <v>1.7333333333333334</v>
      </c>
    </row>
    <row r="275" spans="1:19" x14ac:dyDescent="0.2">
      <c r="A275" s="1">
        <v>1979</v>
      </c>
      <c r="B275" s="1">
        <v>-7.5</v>
      </c>
      <c r="C275" s="1">
        <v>-5</v>
      </c>
      <c r="D275" s="1">
        <v>-2.7</v>
      </c>
      <c r="E275" s="1">
        <v>-2.7</v>
      </c>
      <c r="F275" s="1">
        <v>4.4000000000000004</v>
      </c>
      <c r="G275" s="1">
        <v>9.1</v>
      </c>
      <c r="H275" s="1">
        <v>7.9</v>
      </c>
      <c r="I275" s="1">
        <v>7.9</v>
      </c>
      <c r="J275" s="1">
        <v>6.9</v>
      </c>
      <c r="K275" s="1">
        <v>2.1</v>
      </c>
      <c r="L275" s="1">
        <v>-2.2000000000000002</v>
      </c>
      <c r="M275" s="1">
        <v>-2.8</v>
      </c>
      <c r="N275" s="1">
        <v>1.3</v>
      </c>
      <c r="P275" s="4">
        <f t="shared" si="24"/>
        <v>-5.7333333333333334</v>
      </c>
      <c r="Q275" s="4">
        <f t="shared" si="25"/>
        <v>-0.33333333333333331</v>
      </c>
      <c r="R275" s="20">
        <f t="shared" si="26"/>
        <v>8.2999999999999989</v>
      </c>
      <c r="S275" s="4">
        <f t="shared" si="27"/>
        <v>2.2666666666666666</v>
      </c>
    </row>
    <row r="276" spans="1:19" x14ac:dyDescent="0.2">
      <c r="A276" s="1">
        <v>1980</v>
      </c>
      <c r="B276" s="1">
        <v>-7.8</v>
      </c>
      <c r="C276" s="1">
        <v>-6.6</v>
      </c>
      <c r="D276" s="1">
        <v>-4.5999999999999996</v>
      </c>
      <c r="E276" s="1">
        <v>-3.9</v>
      </c>
      <c r="F276" s="1">
        <v>0.9</v>
      </c>
      <c r="G276" s="1">
        <v>6.2</v>
      </c>
      <c r="H276" s="1">
        <v>8.6999999999999993</v>
      </c>
      <c r="I276" s="1">
        <v>10</v>
      </c>
      <c r="J276" s="1">
        <v>7.1</v>
      </c>
      <c r="K276" s="1">
        <v>2.2999999999999998</v>
      </c>
      <c r="L276" s="1">
        <v>-0.2</v>
      </c>
      <c r="M276" s="1">
        <v>-6.2</v>
      </c>
      <c r="N276" s="1">
        <v>0.5</v>
      </c>
      <c r="P276" s="4">
        <f t="shared" si="24"/>
        <v>-8.3666666666666671</v>
      </c>
      <c r="Q276" s="4">
        <f t="shared" si="25"/>
        <v>-2.5333333333333332</v>
      </c>
      <c r="R276" s="20">
        <f t="shared" si="26"/>
        <v>8.2999999999999989</v>
      </c>
      <c r="S276" s="4">
        <f t="shared" si="27"/>
        <v>3.0666666666666664</v>
      </c>
    </row>
    <row r="277" spans="1:19" x14ac:dyDescent="0.2">
      <c r="A277" s="1">
        <v>1981</v>
      </c>
      <c r="B277" s="1">
        <v>-11.3</v>
      </c>
      <c r="C277" s="1">
        <v>-7.6</v>
      </c>
      <c r="D277" s="1">
        <v>-0.9</v>
      </c>
      <c r="E277" s="1">
        <v>-0.7</v>
      </c>
      <c r="F277" s="1">
        <v>3.8</v>
      </c>
      <c r="G277" s="1">
        <v>8.5</v>
      </c>
      <c r="H277" s="1">
        <v>8</v>
      </c>
      <c r="I277" s="1">
        <v>9.8000000000000007</v>
      </c>
      <c r="J277" s="1">
        <v>7.2</v>
      </c>
      <c r="K277" s="1">
        <v>4.2</v>
      </c>
      <c r="L277" s="1">
        <v>-4.5</v>
      </c>
      <c r="M277" s="1">
        <v>-5.8</v>
      </c>
      <c r="N277" s="1">
        <v>0.9</v>
      </c>
      <c r="P277" s="4">
        <f t="shared" si="24"/>
        <v>-6.3</v>
      </c>
      <c r="Q277" s="4">
        <f t="shared" si="25"/>
        <v>0.73333333333333328</v>
      </c>
      <c r="R277" s="20">
        <f t="shared" si="26"/>
        <v>8.7666666666666675</v>
      </c>
      <c r="S277" s="4">
        <f t="shared" si="27"/>
        <v>2.3000000000000003</v>
      </c>
    </row>
    <row r="278" spans="1:19" x14ac:dyDescent="0.2">
      <c r="A278" s="1">
        <v>1982</v>
      </c>
      <c r="B278" s="1">
        <v>-5.3</v>
      </c>
      <c r="C278" s="1">
        <v>-7.8</v>
      </c>
      <c r="D278" s="1">
        <v>-5.4</v>
      </c>
      <c r="E278" s="1">
        <v>-2.4</v>
      </c>
      <c r="F278" s="1">
        <v>4.2</v>
      </c>
      <c r="G278" s="1">
        <v>9.5</v>
      </c>
      <c r="H278" s="1">
        <v>10.199999999999999</v>
      </c>
      <c r="I278" s="1">
        <v>9.8000000000000007</v>
      </c>
      <c r="J278" s="1">
        <v>10.5</v>
      </c>
      <c r="K278" s="1">
        <v>3.6</v>
      </c>
      <c r="L278" s="1">
        <v>-0.2</v>
      </c>
      <c r="M278" s="1">
        <v>-4.2</v>
      </c>
      <c r="N278" s="1">
        <v>1.6</v>
      </c>
      <c r="P278" s="4">
        <f t="shared" si="24"/>
        <v>-6.333333333333333</v>
      </c>
      <c r="Q278" s="4">
        <f t="shared" si="25"/>
        <v>-1.2000000000000002</v>
      </c>
      <c r="R278" s="20">
        <f t="shared" si="26"/>
        <v>9.8333333333333339</v>
      </c>
      <c r="S278" s="4">
        <f t="shared" si="27"/>
        <v>4.6333333333333337</v>
      </c>
    </row>
    <row r="279" spans="1:19" x14ac:dyDescent="0.2">
      <c r="A279" s="1">
        <v>1983</v>
      </c>
      <c r="B279" s="1">
        <v>-5.0999999999999996</v>
      </c>
      <c r="C279" s="1">
        <v>-9.6999999999999993</v>
      </c>
      <c r="D279" s="1">
        <v>-3.3</v>
      </c>
      <c r="E279" s="1">
        <v>0.6</v>
      </c>
      <c r="F279" s="1">
        <v>5.9</v>
      </c>
      <c r="G279" s="1">
        <v>6.5</v>
      </c>
      <c r="H279" s="1">
        <v>10.8</v>
      </c>
      <c r="I279" s="1">
        <v>9.3000000000000007</v>
      </c>
      <c r="J279" s="1">
        <v>6.6</v>
      </c>
      <c r="K279" s="1">
        <v>2</v>
      </c>
      <c r="L279" s="1">
        <v>-2.8</v>
      </c>
      <c r="M279" s="1">
        <v>-5.5</v>
      </c>
      <c r="N279" s="1">
        <v>1.3</v>
      </c>
      <c r="P279" s="4">
        <f t="shared" si="24"/>
        <v>-6.3999999999999995</v>
      </c>
      <c r="Q279" s="4">
        <f t="shared" si="25"/>
        <v>1.0666666666666669</v>
      </c>
      <c r="R279" s="20">
        <f t="shared" si="26"/>
        <v>8.8666666666666671</v>
      </c>
      <c r="S279" s="4">
        <f t="shared" si="27"/>
        <v>1.9333333333333333</v>
      </c>
    </row>
    <row r="280" spans="1:19" x14ac:dyDescent="0.2">
      <c r="A280" s="1">
        <v>1984</v>
      </c>
      <c r="B280" s="1">
        <v>-6</v>
      </c>
      <c r="C280" s="1">
        <v>-7.7</v>
      </c>
      <c r="D280" s="1">
        <v>-6.4</v>
      </c>
      <c r="E280" s="1">
        <v>-3.1</v>
      </c>
      <c r="F280" s="1">
        <v>3.3</v>
      </c>
      <c r="G280" s="1">
        <v>5.8</v>
      </c>
      <c r="H280" s="1">
        <v>8.6</v>
      </c>
      <c r="I280" s="1">
        <v>7.8</v>
      </c>
      <c r="J280" s="1">
        <v>6.1</v>
      </c>
      <c r="K280" s="1">
        <v>4.2</v>
      </c>
      <c r="L280" s="1">
        <v>0.2</v>
      </c>
      <c r="M280" s="1">
        <v>-4.4000000000000004</v>
      </c>
      <c r="N280" s="1">
        <v>0.7</v>
      </c>
      <c r="P280" s="4">
        <f t="shared" si="24"/>
        <v>-7.5666666666666673</v>
      </c>
      <c r="Q280" s="4">
        <f t="shared" si="25"/>
        <v>-2.0666666666666669</v>
      </c>
      <c r="R280" s="20">
        <f t="shared" si="26"/>
        <v>7.3999999999999995</v>
      </c>
      <c r="S280" s="4">
        <f t="shared" si="27"/>
        <v>3.5</v>
      </c>
    </row>
    <row r="281" spans="1:19" x14ac:dyDescent="0.2">
      <c r="A281" s="1">
        <v>1985</v>
      </c>
      <c r="B281" s="1">
        <v>-8.4</v>
      </c>
      <c r="C281" s="1">
        <v>-9.9</v>
      </c>
      <c r="D281" s="1">
        <v>-3.3</v>
      </c>
      <c r="E281" s="1">
        <v>-1</v>
      </c>
      <c r="F281" s="1">
        <v>5.9</v>
      </c>
      <c r="G281" s="1">
        <v>6.3</v>
      </c>
      <c r="H281" s="1">
        <v>10.6</v>
      </c>
      <c r="I281" s="1">
        <v>11.2</v>
      </c>
      <c r="J281" s="1">
        <v>7.1</v>
      </c>
      <c r="K281" s="1">
        <v>2.2000000000000002</v>
      </c>
      <c r="L281" s="1">
        <v>-1.5</v>
      </c>
      <c r="M281" s="1">
        <v>-1.2</v>
      </c>
      <c r="N281" s="1">
        <v>1.5</v>
      </c>
      <c r="P281" s="4">
        <f t="shared" si="24"/>
        <v>-5.0666666666666664</v>
      </c>
      <c r="Q281" s="4">
        <f t="shared" si="25"/>
        <v>0.53333333333333355</v>
      </c>
      <c r="R281" s="20">
        <f t="shared" si="26"/>
        <v>9.3666666666666654</v>
      </c>
      <c r="S281" s="4">
        <f t="shared" si="27"/>
        <v>2.6</v>
      </c>
    </row>
    <row r="282" spans="1:19" x14ac:dyDescent="0.2">
      <c r="A282" s="1">
        <v>1986</v>
      </c>
      <c r="B282" s="1">
        <v>-7</v>
      </c>
      <c r="C282" s="1">
        <v>-7</v>
      </c>
      <c r="D282" s="1">
        <v>-3</v>
      </c>
      <c r="E282" s="1">
        <v>0.9</v>
      </c>
      <c r="F282" s="1">
        <v>6.3</v>
      </c>
      <c r="G282" s="1">
        <v>6.6</v>
      </c>
      <c r="H282" s="1">
        <v>8.6</v>
      </c>
      <c r="I282" s="1">
        <v>11.4</v>
      </c>
      <c r="J282" s="1">
        <v>7.5</v>
      </c>
      <c r="K282" s="1">
        <v>3.3</v>
      </c>
      <c r="L282" s="1">
        <v>-1</v>
      </c>
      <c r="M282" s="1">
        <v>-4.9000000000000004</v>
      </c>
      <c r="N282" s="1">
        <v>1.8</v>
      </c>
      <c r="P282" s="4">
        <f t="shared" si="24"/>
        <v>-5.833333333333333</v>
      </c>
      <c r="Q282" s="4">
        <f t="shared" si="25"/>
        <v>1.3999999999999997</v>
      </c>
      <c r="R282" s="20">
        <f t="shared" si="26"/>
        <v>8.8666666666666671</v>
      </c>
      <c r="S282" s="4">
        <f t="shared" si="27"/>
        <v>3.2666666666666671</v>
      </c>
    </row>
    <row r="283" spans="1:19" x14ac:dyDescent="0.2">
      <c r="A283" s="1">
        <v>1987</v>
      </c>
      <c r="B283" s="1">
        <v>-8</v>
      </c>
      <c r="C283" s="1">
        <v>-4.5999999999999996</v>
      </c>
      <c r="D283" s="1">
        <v>-10.8</v>
      </c>
      <c r="E283" s="1">
        <v>-2.1</v>
      </c>
      <c r="F283" s="1">
        <v>1.5</v>
      </c>
      <c r="G283" s="1">
        <v>7.7</v>
      </c>
      <c r="H283" s="1">
        <v>12.5</v>
      </c>
      <c r="I283" s="1">
        <v>9.4</v>
      </c>
      <c r="J283" s="1">
        <v>11</v>
      </c>
      <c r="K283" s="1">
        <v>3.8</v>
      </c>
      <c r="L283" s="1">
        <v>-1.8</v>
      </c>
      <c r="M283" s="1">
        <v>-3.3</v>
      </c>
      <c r="N283" s="1">
        <v>1.3</v>
      </c>
      <c r="P283" s="4">
        <f t="shared" si="24"/>
        <v>-4.5666666666666664</v>
      </c>
      <c r="Q283" s="4">
        <f t="shared" si="25"/>
        <v>-3.8000000000000003</v>
      </c>
      <c r="R283" s="20">
        <f t="shared" si="26"/>
        <v>9.8666666666666671</v>
      </c>
      <c r="S283" s="4">
        <f t="shared" si="27"/>
        <v>4.333333333333333</v>
      </c>
    </row>
    <row r="284" spans="1:19" x14ac:dyDescent="0.2">
      <c r="A284" s="1">
        <v>1988</v>
      </c>
      <c r="B284" s="1">
        <v>-3.7</v>
      </c>
      <c r="C284" s="1">
        <v>-6.7</v>
      </c>
      <c r="D284" s="1">
        <v>-6.5</v>
      </c>
      <c r="E284" s="1">
        <v>-1.1000000000000001</v>
      </c>
      <c r="F284" s="1">
        <v>4.8</v>
      </c>
      <c r="G284" s="1">
        <v>6.9</v>
      </c>
      <c r="H284" s="1">
        <v>12.9</v>
      </c>
      <c r="I284" s="1">
        <v>11.8</v>
      </c>
      <c r="J284" s="1">
        <v>6.4</v>
      </c>
      <c r="K284" s="1">
        <v>4.0999999999999996</v>
      </c>
      <c r="L284" s="1">
        <v>-6</v>
      </c>
      <c r="M284" s="1">
        <v>-6.6</v>
      </c>
      <c r="N284" s="1">
        <v>1.4</v>
      </c>
      <c r="P284" s="4">
        <f t="shared" si="24"/>
        <v>-4.7</v>
      </c>
      <c r="Q284" s="4">
        <f t="shared" si="25"/>
        <v>-0.93333333333333324</v>
      </c>
      <c r="R284" s="20">
        <f t="shared" si="26"/>
        <v>10.533333333333333</v>
      </c>
      <c r="S284" s="4">
        <f t="shared" si="27"/>
        <v>1.5</v>
      </c>
    </row>
    <row r="285" spans="1:19" x14ac:dyDescent="0.2">
      <c r="A285" s="1">
        <v>1989</v>
      </c>
      <c r="B285" s="1">
        <v>-4.2</v>
      </c>
      <c r="C285" s="1">
        <v>-3.3</v>
      </c>
      <c r="D285" s="1">
        <v>-1.9</v>
      </c>
      <c r="E285" s="1">
        <v>0.7</v>
      </c>
      <c r="F285" s="1">
        <v>2.5</v>
      </c>
      <c r="G285" s="1">
        <v>5.3</v>
      </c>
      <c r="H285" s="1">
        <v>9.9</v>
      </c>
      <c r="I285" s="1">
        <v>9.4</v>
      </c>
      <c r="J285" s="1">
        <v>6.3</v>
      </c>
      <c r="K285" s="1">
        <v>2</v>
      </c>
      <c r="L285" s="1">
        <v>-3.7</v>
      </c>
      <c r="M285" s="1">
        <v>-4.3</v>
      </c>
      <c r="N285" s="1">
        <v>1.6</v>
      </c>
      <c r="P285" s="4">
        <f t="shared" si="24"/>
        <v>-3.3333333333333335</v>
      </c>
      <c r="Q285" s="4">
        <f t="shared" si="25"/>
        <v>0.43333333333333335</v>
      </c>
      <c r="R285" s="20">
        <f t="shared" si="26"/>
        <v>8.2000000000000011</v>
      </c>
      <c r="S285" s="4">
        <f t="shared" si="27"/>
        <v>1.5333333333333334</v>
      </c>
    </row>
    <row r="286" spans="1:19" x14ac:dyDescent="0.2">
      <c r="A286" s="1">
        <v>1990</v>
      </c>
      <c r="B286" s="1">
        <v>-3.2</v>
      </c>
      <c r="C286" s="1">
        <v>-2.5</v>
      </c>
      <c r="D286" s="1">
        <v>-0.6</v>
      </c>
      <c r="E286" s="1">
        <v>-1.8</v>
      </c>
      <c r="F286" s="1">
        <v>3.8</v>
      </c>
      <c r="G286" s="1">
        <v>7.6</v>
      </c>
      <c r="H286" s="1">
        <v>9.9</v>
      </c>
      <c r="I286" s="1">
        <v>10</v>
      </c>
      <c r="J286" s="1">
        <v>5</v>
      </c>
      <c r="K286" s="1">
        <v>5.5</v>
      </c>
      <c r="L286" s="1">
        <v>-1.2</v>
      </c>
      <c r="M286" s="1">
        <v>-6.8</v>
      </c>
      <c r="N286" s="1">
        <v>2.1</v>
      </c>
      <c r="P286" s="4">
        <f t="shared" si="24"/>
        <v>-7.5765957446808505</v>
      </c>
      <c r="Q286" s="4">
        <f t="shared" si="25"/>
        <v>0.46666666666666662</v>
      </c>
      <c r="R286" s="20">
        <f t="shared" si="26"/>
        <v>9.1666666666666661</v>
      </c>
      <c r="S286" s="4">
        <f t="shared" si="27"/>
        <v>3.1</v>
      </c>
    </row>
    <row r="287" spans="1:19" x14ac:dyDescent="0.2">
      <c r="A287" s="1">
        <v>1991</v>
      </c>
      <c r="B287" s="10">
        <v>-6.7531914893617007</v>
      </c>
      <c r="C287" s="10">
        <v>-9.1765957446808493</v>
      </c>
      <c r="D287" s="10">
        <v>-1.5553191489361708</v>
      </c>
      <c r="E287" s="10">
        <v>-3.5744680851063819</v>
      </c>
      <c r="F287" s="10">
        <v>1.0638297872338498E-2</v>
      </c>
      <c r="G287" s="10">
        <v>8.632608695652177</v>
      </c>
      <c r="H287" s="10">
        <v>8.8543478260869559</v>
      </c>
      <c r="I287" s="10">
        <v>9.0391304347826047</v>
      </c>
      <c r="J287" s="10">
        <v>7.6152173913043413</v>
      </c>
      <c r="K287" s="10">
        <v>1.6478260869565204</v>
      </c>
      <c r="L287" s="10">
        <v>-0.74893617021276704</v>
      </c>
      <c r="M287" s="10">
        <v>-8.8361702127659569</v>
      </c>
      <c r="N287" s="10">
        <v>0.4295906567992594</v>
      </c>
      <c r="O287" s="4"/>
      <c r="P287" s="4">
        <f t="shared" si="24"/>
        <v>-7.1120567375886523</v>
      </c>
      <c r="Q287" s="4">
        <f t="shared" si="25"/>
        <v>-1.7063829787234048</v>
      </c>
      <c r="R287" s="20">
        <f t="shared" si="26"/>
        <v>8.8420289855072465</v>
      </c>
      <c r="S287" s="4">
        <f t="shared" si="27"/>
        <v>2.8380357693493647</v>
      </c>
    </row>
    <row r="288" spans="1:19" x14ac:dyDescent="0.2">
      <c r="A288" s="1">
        <v>1992</v>
      </c>
      <c r="B288" s="2">
        <v>-5.3</v>
      </c>
      <c r="C288" s="2">
        <v>-7.2</v>
      </c>
      <c r="D288" s="2">
        <v>-4.7</v>
      </c>
      <c r="E288" s="2">
        <v>-1.4</v>
      </c>
      <c r="F288" s="2">
        <v>3.7</v>
      </c>
      <c r="G288" s="10">
        <v>7.132608695652177</v>
      </c>
      <c r="H288" s="10">
        <v>9.8543478260869559</v>
      </c>
      <c r="I288" s="10">
        <v>13.739130434782604</v>
      </c>
      <c r="J288" s="10">
        <v>7.415217391304342</v>
      </c>
      <c r="K288" s="10">
        <v>4.4478260869565194</v>
      </c>
      <c r="L288" s="10">
        <v>0.35106382978723261</v>
      </c>
      <c r="M288" s="10">
        <v>-5.4361702127659584</v>
      </c>
      <c r="N288" s="10">
        <v>1.8836686709836561</v>
      </c>
      <c r="O288" s="4"/>
      <c r="P288" s="4">
        <f t="shared" si="24"/>
        <v>-7.1886524822695037</v>
      </c>
      <c r="Q288" s="4">
        <f t="shared" si="25"/>
        <v>-0.79999999999999982</v>
      </c>
      <c r="R288" s="20">
        <f t="shared" si="26"/>
        <v>10.242028985507245</v>
      </c>
      <c r="S288" s="4">
        <f t="shared" si="27"/>
        <v>4.0713691026826977</v>
      </c>
    </row>
    <row r="289" spans="1:19" x14ac:dyDescent="0.2">
      <c r="A289" s="1">
        <v>1993</v>
      </c>
      <c r="B289" s="10">
        <v>-6.5531914893617005</v>
      </c>
      <c r="C289" s="10">
        <v>-9.5765957446808496</v>
      </c>
      <c r="D289" s="10">
        <v>-6.4553191489361703</v>
      </c>
      <c r="E289" s="10">
        <v>-0.87446808510638085</v>
      </c>
      <c r="F289" s="10">
        <v>5.7106382978723378</v>
      </c>
      <c r="G289" s="10">
        <v>8.2326086956521785</v>
      </c>
      <c r="H289" s="10">
        <v>10.254347826086954</v>
      </c>
      <c r="I289" s="10">
        <v>10.939130434782603</v>
      </c>
      <c r="J289" s="10">
        <v>6.915217391304342</v>
      </c>
      <c r="K289" s="10">
        <v>5.7478260869565201</v>
      </c>
      <c r="L289" s="10">
        <v>-3.9489361702127672</v>
      </c>
      <c r="M289" s="10">
        <v>-1.9361702127659579</v>
      </c>
      <c r="N289" s="10">
        <v>1.5379239901325921</v>
      </c>
      <c r="O289" s="4"/>
      <c r="P289" s="4">
        <f t="shared" si="24"/>
        <v>-4.1886524822695028</v>
      </c>
      <c r="Q289" s="4">
        <f t="shared" si="25"/>
        <v>-0.53971631205673776</v>
      </c>
      <c r="R289" s="20">
        <f t="shared" si="26"/>
        <v>9.8086956521739115</v>
      </c>
      <c r="S289" s="4">
        <f t="shared" si="27"/>
        <v>2.9047024360160321</v>
      </c>
    </row>
    <row r="290" spans="1:19" x14ac:dyDescent="0.2">
      <c r="A290" s="1">
        <v>1994</v>
      </c>
      <c r="B290" s="10">
        <v>-3.7531914893617007</v>
      </c>
      <c r="C290" s="10">
        <v>-6.8765957446808494</v>
      </c>
      <c r="D290" s="10">
        <v>-1.0553191489361708</v>
      </c>
      <c r="E290" s="10">
        <v>-0.87446808510638085</v>
      </c>
      <c r="F290" s="10">
        <v>5.4106382978723371</v>
      </c>
      <c r="G290" s="10">
        <v>7.8326086956521799</v>
      </c>
      <c r="H290" s="10">
        <v>10.754347826086954</v>
      </c>
      <c r="I290" s="10">
        <v>12.039130434782605</v>
      </c>
      <c r="J290" s="10">
        <v>10.015217391304343</v>
      </c>
      <c r="K290" s="10">
        <v>1.9478260869565194</v>
      </c>
      <c r="L290" s="10">
        <v>-0.14893617021276739</v>
      </c>
      <c r="M290" s="10">
        <v>-4.536170212765958</v>
      </c>
      <c r="N290" s="10">
        <v>2.562923990132592</v>
      </c>
      <c r="O290" s="4"/>
      <c r="P290" s="4">
        <f t="shared" si="24"/>
        <v>-4.6886524822695028</v>
      </c>
      <c r="Q290" s="4">
        <f t="shared" si="25"/>
        <v>1.1602836879432619</v>
      </c>
      <c r="R290" s="20">
        <f t="shared" si="26"/>
        <v>10.208695652173914</v>
      </c>
      <c r="S290" s="4">
        <f t="shared" si="27"/>
        <v>3.9380357693493653</v>
      </c>
    </row>
    <row r="291" spans="1:19" x14ac:dyDescent="0.2">
      <c r="A291" s="1">
        <v>1995</v>
      </c>
      <c r="B291" s="10">
        <v>-6.7531914893617007</v>
      </c>
      <c r="C291" s="10">
        <v>-2.7765957446808489</v>
      </c>
      <c r="D291" s="10">
        <v>-5.3553191489361698</v>
      </c>
      <c r="E291" s="10">
        <v>-1.8744680851063809</v>
      </c>
      <c r="F291" s="10">
        <v>3.3106382978723374</v>
      </c>
      <c r="G291" s="10">
        <v>7.0326086956521792</v>
      </c>
      <c r="H291" s="10">
        <v>11.454347826086954</v>
      </c>
      <c r="I291" s="10">
        <v>8.3391304347826019</v>
      </c>
      <c r="J291" s="10">
        <v>5.1152173913043413</v>
      </c>
      <c r="K291" s="10">
        <v>3.1478260869565204</v>
      </c>
      <c r="L291" s="10">
        <v>-4.4489361702127672</v>
      </c>
      <c r="M291" s="10">
        <v>-3.1361702127659581</v>
      </c>
      <c r="N291" s="10">
        <v>1.1712573234659258</v>
      </c>
      <c r="O291" s="4"/>
      <c r="P291" s="4">
        <f t="shared" si="24"/>
        <v>-5.6219858156028364</v>
      </c>
      <c r="Q291" s="4">
        <f t="shared" si="25"/>
        <v>-1.3063829787234045</v>
      </c>
      <c r="R291" s="20">
        <f t="shared" si="26"/>
        <v>8.9420289855072443</v>
      </c>
      <c r="S291" s="4">
        <f t="shared" si="27"/>
        <v>1.2713691026826981</v>
      </c>
    </row>
    <row r="292" spans="1:19" x14ac:dyDescent="0.2">
      <c r="A292" s="1">
        <v>1996</v>
      </c>
      <c r="B292" s="10">
        <v>-4.2531914893617007</v>
      </c>
      <c r="C292" s="10">
        <v>-9.47659574468085</v>
      </c>
      <c r="D292" s="10">
        <v>-7.6553191489361705</v>
      </c>
      <c r="E292" s="10">
        <v>-1.2744680851063812</v>
      </c>
      <c r="F292" s="10">
        <v>5.6106382978723381</v>
      </c>
      <c r="G292" s="10">
        <v>8.9326086956521777</v>
      </c>
      <c r="H292" s="10">
        <v>9.6543478260869566</v>
      </c>
      <c r="I292" s="10">
        <v>9.9391304347826033</v>
      </c>
      <c r="J292" s="10">
        <v>3.0152173913043416</v>
      </c>
      <c r="K292" s="10">
        <v>2.6478260869565204</v>
      </c>
      <c r="L292" s="10">
        <v>1.0510638297872328</v>
      </c>
      <c r="M292" s="10">
        <v>-5.9361702127659584</v>
      </c>
      <c r="N292" s="10">
        <v>1.0212573234659257</v>
      </c>
      <c r="O292" s="4"/>
      <c r="P292" s="4">
        <f t="shared" si="24"/>
        <v>-5.3219858156028366</v>
      </c>
      <c r="Q292" s="4">
        <f t="shared" si="25"/>
        <v>-1.1063829787234045</v>
      </c>
      <c r="R292" s="20">
        <f t="shared" si="26"/>
        <v>9.5086956521739125</v>
      </c>
      <c r="S292" s="4">
        <f t="shared" si="27"/>
        <v>2.2380357693493651</v>
      </c>
    </row>
    <row r="293" spans="1:19" x14ac:dyDescent="0.2">
      <c r="A293" s="1">
        <v>1997</v>
      </c>
      <c r="B293" s="10">
        <v>-4.653191489361701</v>
      </c>
      <c r="C293" s="10">
        <v>-5.3765957446808494</v>
      </c>
      <c r="D293" s="10">
        <v>-4.8553191489361698</v>
      </c>
      <c r="E293" s="10">
        <v>-6.1744680851063816</v>
      </c>
      <c r="F293" s="10">
        <v>4.6106382978723381</v>
      </c>
      <c r="G293" s="10">
        <v>9.9326086956521777</v>
      </c>
      <c r="H293" s="10">
        <v>9.4543478260869538</v>
      </c>
      <c r="I293" s="10">
        <v>8.8391304347826019</v>
      </c>
      <c r="J293" s="10">
        <v>6.5152173913043416</v>
      </c>
      <c r="K293" s="10">
        <v>-5.2173913043480624E-2</v>
      </c>
      <c r="L293" s="10">
        <v>-1.0489361702127669</v>
      </c>
      <c r="M293" s="10">
        <v>-2.6361702127659581</v>
      </c>
      <c r="N293" s="10">
        <v>1.2129239901325921</v>
      </c>
      <c r="O293" s="4"/>
      <c r="P293" s="4">
        <f t="shared" si="24"/>
        <v>-3.65531914893617</v>
      </c>
      <c r="Q293" s="4">
        <f t="shared" si="25"/>
        <v>-2.1397163120567377</v>
      </c>
      <c r="R293" s="20">
        <f t="shared" si="26"/>
        <v>9.4086956521739111</v>
      </c>
      <c r="S293" s="4">
        <f t="shared" si="27"/>
        <v>1.8047024360160313</v>
      </c>
    </row>
    <row r="294" spans="1:19" x14ac:dyDescent="0.2">
      <c r="A294" s="1">
        <v>1998</v>
      </c>
      <c r="B294" s="10">
        <v>-3.9531914893617008</v>
      </c>
      <c r="C294" s="10">
        <v>-4.3765957446808494</v>
      </c>
      <c r="D294" s="10">
        <v>-6.55531914893617</v>
      </c>
      <c r="E294" s="10">
        <v>0.42553191489361808</v>
      </c>
      <c r="F294" s="10">
        <v>3.3106382978723374</v>
      </c>
      <c r="G294" s="10">
        <v>9.4326086956521777</v>
      </c>
      <c r="H294" s="10">
        <v>11.954347826086954</v>
      </c>
      <c r="I294" s="10">
        <v>11.539130434782605</v>
      </c>
      <c r="J294" s="10">
        <v>6.2152173913043427</v>
      </c>
      <c r="K294" s="10">
        <v>3.9478260869565194</v>
      </c>
      <c r="L294" s="10">
        <v>-4.1489361702127674</v>
      </c>
      <c r="M294" s="10">
        <v>-8.4361702127659584</v>
      </c>
      <c r="N294" s="10">
        <v>1.6129239901325922</v>
      </c>
      <c r="O294" s="4"/>
      <c r="P294" s="4">
        <f t="shared" si="24"/>
        <v>-7.6553191489361696</v>
      </c>
      <c r="Q294" s="4">
        <f t="shared" si="25"/>
        <v>-0.93971631205673811</v>
      </c>
      <c r="R294" s="20">
        <f t="shared" si="26"/>
        <v>10.975362318840579</v>
      </c>
      <c r="S294" s="4">
        <f t="shared" si="27"/>
        <v>2.0047024360160317</v>
      </c>
    </row>
    <row r="295" spans="1:19" x14ac:dyDescent="0.2">
      <c r="A295" s="1">
        <v>1999</v>
      </c>
      <c r="B295" s="10">
        <v>-5.8531914893617012</v>
      </c>
      <c r="C295" s="10">
        <v>-8.6765957446808493</v>
      </c>
      <c r="D295" s="10">
        <v>-3.4553191489361703</v>
      </c>
      <c r="E295" s="10">
        <v>2.5531914893617724E-2</v>
      </c>
      <c r="F295" s="10">
        <v>5.2106382978723378</v>
      </c>
      <c r="G295" s="10">
        <v>8.9326086956521777</v>
      </c>
      <c r="H295" s="10">
        <v>9.8543478260869559</v>
      </c>
      <c r="I295" s="10">
        <v>10.939130434782603</v>
      </c>
      <c r="J295" s="10">
        <v>7.7152173913043427</v>
      </c>
      <c r="K295" s="10">
        <v>3.3478260869565197</v>
      </c>
      <c r="L295" s="2">
        <v>-2</v>
      </c>
      <c r="M295" s="2">
        <v>-6.1</v>
      </c>
      <c r="N295" s="10">
        <v>1.6616828553808201</v>
      </c>
      <c r="O295" s="4"/>
      <c r="P295" s="4">
        <f t="shared" si="24"/>
        <v>-7.3999999999999995</v>
      </c>
      <c r="Q295" s="4">
        <f t="shared" si="25"/>
        <v>0.5936170212765951</v>
      </c>
      <c r="R295" s="20">
        <f t="shared" si="26"/>
        <v>9.9086956521739129</v>
      </c>
      <c r="S295" s="4">
        <f t="shared" si="27"/>
        <v>3.0210144927536207</v>
      </c>
    </row>
    <row r="296" spans="1:19" x14ac:dyDescent="0.2">
      <c r="A296" s="1">
        <v>2000</v>
      </c>
      <c r="B296" s="1">
        <v>-9.1999999999999993</v>
      </c>
      <c r="C296" s="1">
        <v>-6.9</v>
      </c>
      <c r="D296" s="1">
        <v>-5.5</v>
      </c>
      <c r="E296" s="1">
        <v>1.2</v>
      </c>
      <c r="F296" s="1">
        <v>6.7</v>
      </c>
      <c r="G296" s="1">
        <v>9.6999999999999993</v>
      </c>
      <c r="H296" s="1">
        <v>9.9</v>
      </c>
      <c r="I296" s="1">
        <v>12.5</v>
      </c>
      <c r="J296" s="1">
        <v>6</v>
      </c>
      <c r="K296" s="1">
        <v>4.7</v>
      </c>
      <c r="L296" s="1">
        <v>0.7</v>
      </c>
      <c r="M296" s="1">
        <v>-2.5</v>
      </c>
      <c r="N296" s="1">
        <v>2.2999999999999998</v>
      </c>
      <c r="P296" s="4">
        <f t="shared" si="24"/>
        <v>-4.5666666666666664</v>
      </c>
      <c r="Q296" s="4">
        <f t="shared" si="25"/>
        <v>0.80000000000000016</v>
      </c>
      <c r="R296" s="20">
        <f t="shared" si="26"/>
        <v>10.700000000000001</v>
      </c>
      <c r="S296" s="4">
        <f t="shared" si="27"/>
        <v>3.7999999999999994</v>
      </c>
    </row>
    <row r="297" spans="1:19" x14ac:dyDescent="0.2">
      <c r="A297" s="1">
        <v>2001</v>
      </c>
      <c r="B297" s="1">
        <v>-4.5999999999999996</v>
      </c>
      <c r="C297" s="1">
        <v>-6.6</v>
      </c>
      <c r="D297" s="1">
        <v>-0.9</v>
      </c>
      <c r="E297" s="1">
        <v>-1.5</v>
      </c>
      <c r="F297" s="1">
        <v>5.5</v>
      </c>
      <c r="G297" s="1">
        <v>6.7</v>
      </c>
      <c r="H297" s="1">
        <v>10.5</v>
      </c>
      <c r="I297" s="1">
        <v>12.1</v>
      </c>
      <c r="J297" s="1">
        <v>4.0999999999999996</v>
      </c>
      <c r="K297" s="1">
        <v>6</v>
      </c>
      <c r="L297" s="1">
        <v>-3.9</v>
      </c>
      <c r="M297" s="1">
        <v>-10.9</v>
      </c>
      <c r="N297" s="1">
        <v>1.4</v>
      </c>
      <c r="P297" s="4">
        <f t="shared" si="24"/>
        <v>-6.4666666666666659</v>
      </c>
      <c r="Q297" s="4">
        <f t="shared" si="25"/>
        <v>1.0333333333333334</v>
      </c>
      <c r="R297" s="20">
        <f t="shared" si="26"/>
        <v>9.7666666666666657</v>
      </c>
      <c r="S297" s="4">
        <f t="shared" si="27"/>
        <v>2.0666666666666664</v>
      </c>
    </row>
    <row r="298" spans="1:19" x14ac:dyDescent="0.2">
      <c r="A298" s="1">
        <v>2002</v>
      </c>
      <c r="B298" s="1">
        <v>-5.6</v>
      </c>
      <c r="C298" s="1">
        <v>-2.9</v>
      </c>
      <c r="D298" s="1">
        <v>-2.5</v>
      </c>
      <c r="E298" s="1">
        <v>-0.5</v>
      </c>
      <c r="F298" s="1">
        <v>5.6</v>
      </c>
      <c r="G298" s="1">
        <v>9.1999999999999993</v>
      </c>
      <c r="H298" s="1">
        <v>10.7</v>
      </c>
      <c r="I298" s="1">
        <v>9.1999999999999993</v>
      </c>
      <c r="J298" s="1">
        <v>4.3</v>
      </c>
      <c r="K298" s="1">
        <v>2.6</v>
      </c>
      <c r="L298" s="1">
        <v>-0.3</v>
      </c>
      <c r="M298" s="1">
        <v>-4</v>
      </c>
      <c r="N298" s="1">
        <v>2.2000000000000002</v>
      </c>
      <c r="P298" s="4">
        <f t="shared" si="24"/>
        <v>-7.5333333333333341</v>
      </c>
      <c r="Q298" s="4">
        <f t="shared" si="25"/>
        <v>0.86666666666666659</v>
      </c>
      <c r="R298" s="20">
        <f t="shared" si="26"/>
        <v>9.6999999999999993</v>
      </c>
      <c r="S298" s="4">
        <f t="shared" si="27"/>
        <v>2.2000000000000002</v>
      </c>
    </row>
    <row r="299" spans="1:19" x14ac:dyDescent="0.2">
      <c r="A299" s="1">
        <v>2003</v>
      </c>
      <c r="B299" s="1">
        <v>-6.2</v>
      </c>
      <c r="C299" s="1">
        <v>-12.4</v>
      </c>
      <c r="D299" s="1">
        <v>-5.9</v>
      </c>
      <c r="E299" s="1">
        <v>-2.7</v>
      </c>
      <c r="F299" s="1">
        <v>8.5</v>
      </c>
      <c r="G299" s="1">
        <v>11.8</v>
      </c>
      <c r="H299" s="1">
        <v>10.8</v>
      </c>
      <c r="I299" s="1">
        <v>13.2</v>
      </c>
      <c r="J299" s="1">
        <v>5.4</v>
      </c>
      <c r="K299" s="1">
        <v>0.8</v>
      </c>
      <c r="L299" s="1">
        <v>0</v>
      </c>
      <c r="M299" s="1">
        <v>-5.0999999999999996</v>
      </c>
      <c r="N299" s="1">
        <v>1.5</v>
      </c>
      <c r="P299" s="4">
        <f t="shared" si="24"/>
        <v>-6.7666666666666666</v>
      </c>
      <c r="Q299" s="4">
        <f t="shared" si="25"/>
        <v>-3.3333333333333805E-2</v>
      </c>
      <c r="R299" s="20">
        <f t="shared" si="26"/>
        <v>11.933333333333332</v>
      </c>
      <c r="S299" s="4">
        <f t="shared" si="27"/>
        <v>2.0666666666666669</v>
      </c>
    </row>
    <row r="300" spans="1:19" x14ac:dyDescent="0.2">
      <c r="A300" s="1">
        <v>2004</v>
      </c>
      <c r="B300" s="1">
        <v>-9.3000000000000007</v>
      </c>
      <c r="C300" s="1">
        <v>-5.9</v>
      </c>
      <c r="D300" s="1">
        <v>-4.4000000000000004</v>
      </c>
      <c r="E300" s="1">
        <v>0.2</v>
      </c>
      <c r="F300" s="1">
        <v>1.4</v>
      </c>
      <c r="G300" s="1">
        <v>8.4</v>
      </c>
      <c r="H300" s="1">
        <v>10.8</v>
      </c>
      <c r="I300" s="1">
        <v>10.199999999999999</v>
      </c>
      <c r="J300" s="1">
        <v>6.2</v>
      </c>
      <c r="K300" s="1">
        <v>5.8</v>
      </c>
      <c r="L300" s="1">
        <v>-2.8</v>
      </c>
      <c r="M300" s="1">
        <v>-3.1</v>
      </c>
      <c r="N300" s="1">
        <v>1.5</v>
      </c>
      <c r="P300" s="4">
        <f t="shared" si="24"/>
        <v>-7.1333333333333329</v>
      </c>
      <c r="Q300" s="4">
        <f t="shared" si="25"/>
        <v>-0.93333333333333346</v>
      </c>
      <c r="R300" s="20">
        <f t="shared" si="26"/>
        <v>9.8000000000000007</v>
      </c>
      <c r="S300" s="4">
        <f t="shared" si="27"/>
        <v>3.0666666666666664</v>
      </c>
    </row>
    <row r="301" spans="1:19" x14ac:dyDescent="0.2">
      <c r="A301" s="1">
        <v>2005</v>
      </c>
      <c r="B301" s="1">
        <v>-8.1</v>
      </c>
      <c r="C301" s="1">
        <v>-10.199999999999999</v>
      </c>
      <c r="D301" s="1">
        <v>-5.0999999999999996</v>
      </c>
      <c r="E301" s="1">
        <v>-1.6</v>
      </c>
      <c r="F301" s="1">
        <v>5</v>
      </c>
      <c r="G301" s="1">
        <v>7</v>
      </c>
      <c r="H301" s="1">
        <v>11</v>
      </c>
      <c r="I301" s="1">
        <v>8.6999999999999993</v>
      </c>
      <c r="J301" s="1">
        <v>6.6</v>
      </c>
      <c r="K301" s="1">
        <v>3.1</v>
      </c>
      <c r="L301" s="1">
        <v>-2.2000000000000002</v>
      </c>
      <c r="M301" s="1">
        <v>-6.6</v>
      </c>
      <c r="N301" s="1">
        <v>0.6</v>
      </c>
      <c r="P301" s="4">
        <f t="shared" si="24"/>
        <v>-7.7666666666666666</v>
      </c>
      <c r="Q301" s="4">
        <f t="shared" si="25"/>
        <v>-0.56666666666666643</v>
      </c>
      <c r="R301" s="20">
        <f t="shared" si="26"/>
        <v>8.9</v>
      </c>
      <c r="S301" s="4">
        <f t="shared" si="27"/>
        <v>2.4999999999999996</v>
      </c>
    </row>
    <row r="302" spans="1:19" x14ac:dyDescent="0.2">
      <c r="A302" s="1">
        <v>2006</v>
      </c>
      <c r="B302" s="1">
        <v>-8.8000000000000007</v>
      </c>
      <c r="C302" s="1">
        <v>-7.9</v>
      </c>
      <c r="D302" s="1">
        <v>-5.7</v>
      </c>
      <c r="E302" s="1">
        <v>0.3</v>
      </c>
      <c r="F302" s="1">
        <v>4.5</v>
      </c>
      <c r="G302" s="1">
        <v>8.1</v>
      </c>
      <c r="H302" s="1">
        <v>10.4</v>
      </c>
      <c r="I302" s="1">
        <v>9</v>
      </c>
      <c r="J302" s="1">
        <v>7.2</v>
      </c>
      <c r="K302" s="1">
        <v>4.0999999999999996</v>
      </c>
      <c r="L302" s="1">
        <v>-0.9</v>
      </c>
      <c r="M302" s="1">
        <v>-2.8</v>
      </c>
      <c r="N302" s="1">
        <v>1.5</v>
      </c>
      <c r="P302" s="4">
        <f t="shared" si="24"/>
        <v>-3.6</v>
      </c>
      <c r="Q302" s="4">
        <f t="shared" si="25"/>
        <v>-0.3000000000000001</v>
      </c>
      <c r="R302" s="20">
        <f t="shared" si="26"/>
        <v>9.1666666666666661</v>
      </c>
      <c r="S302" s="4">
        <f t="shared" si="27"/>
        <v>3.4666666666666668</v>
      </c>
    </row>
    <row r="303" spans="1:19" x14ac:dyDescent="0.2">
      <c r="A303" s="1">
        <v>2007</v>
      </c>
      <c r="B303" s="1">
        <v>-3.5</v>
      </c>
      <c r="C303" s="1">
        <v>-4.5</v>
      </c>
      <c r="D303" s="1">
        <v>-3</v>
      </c>
      <c r="E303" s="1">
        <v>1.4</v>
      </c>
      <c r="F303" s="1">
        <v>5.7</v>
      </c>
      <c r="G303" s="1">
        <v>10.7</v>
      </c>
      <c r="H303" s="1">
        <v>12.8</v>
      </c>
      <c r="I303" s="1">
        <v>11.5</v>
      </c>
      <c r="J303" s="1">
        <v>3.8</v>
      </c>
      <c r="K303" s="1">
        <v>1.8</v>
      </c>
      <c r="L303" s="1">
        <v>-4.5999999999999996</v>
      </c>
      <c r="M303" s="1">
        <v>-6.2</v>
      </c>
      <c r="N303" s="1">
        <v>2.2000000000000002</v>
      </c>
      <c r="P303" s="4">
        <f t="shared" si="24"/>
        <v>-5.5666666666666673</v>
      </c>
      <c r="Q303" s="4">
        <f t="shared" si="25"/>
        <v>1.3666666666666665</v>
      </c>
      <c r="R303" s="20">
        <f t="shared" si="26"/>
        <v>11.666666666666666</v>
      </c>
      <c r="S303" s="4">
        <f t="shared" si="27"/>
        <v>0.33333333333333331</v>
      </c>
    </row>
    <row r="304" spans="1:19" x14ac:dyDescent="0.2">
      <c r="A304" s="1">
        <v>2008</v>
      </c>
      <c r="B304" s="1">
        <v>-4.9000000000000004</v>
      </c>
      <c r="C304" s="1">
        <v>-5.6</v>
      </c>
      <c r="D304" s="1">
        <v>-4</v>
      </c>
      <c r="E304" s="1">
        <v>-0.9</v>
      </c>
      <c r="F304" s="1">
        <v>5.2</v>
      </c>
      <c r="G304" s="1">
        <v>9.4</v>
      </c>
      <c r="H304" s="1">
        <v>10.5</v>
      </c>
      <c r="I304" s="1">
        <v>12.2</v>
      </c>
      <c r="J304" s="1">
        <v>5</v>
      </c>
      <c r="K304" s="1">
        <v>4</v>
      </c>
      <c r="L304" s="1">
        <v>-1.2</v>
      </c>
      <c r="M304" s="1">
        <v>-5.8</v>
      </c>
      <c r="N304" s="1">
        <v>2</v>
      </c>
      <c r="P304" s="4">
        <f t="shared" si="24"/>
        <v>-6.9333333333333327</v>
      </c>
      <c r="Q304" s="4">
        <f t="shared" si="25"/>
        <v>9.9999999999999936E-2</v>
      </c>
      <c r="R304" s="20">
        <f t="shared" si="26"/>
        <v>10.699999999999998</v>
      </c>
      <c r="S304" s="4">
        <f t="shared" si="27"/>
        <v>2.6</v>
      </c>
    </row>
    <row r="305" spans="1:19" x14ac:dyDescent="0.2">
      <c r="A305" s="1">
        <v>2009</v>
      </c>
      <c r="B305" s="1">
        <v>-5.6</v>
      </c>
      <c r="C305" s="1">
        <v>-9.4</v>
      </c>
      <c r="D305" s="1">
        <v>-5.9</v>
      </c>
      <c r="E305" s="1">
        <v>1.7</v>
      </c>
      <c r="F305" s="1">
        <v>6.4</v>
      </c>
      <c r="G305" s="1">
        <v>7.9</v>
      </c>
      <c r="H305" s="1">
        <v>11.3</v>
      </c>
      <c r="I305" s="1">
        <v>11.2</v>
      </c>
      <c r="J305" s="1">
        <v>7.3</v>
      </c>
      <c r="K305" s="1">
        <v>1.1000000000000001</v>
      </c>
      <c r="L305" s="1">
        <v>1</v>
      </c>
      <c r="M305" s="1">
        <v>-4.5999999999999996</v>
      </c>
      <c r="N305" s="1">
        <v>1.9</v>
      </c>
      <c r="P305" s="4">
        <f t="shared" si="24"/>
        <v>-6.166666666666667</v>
      </c>
      <c r="Q305" s="4">
        <f t="shared" si="25"/>
        <v>0.73333333333333339</v>
      </c>
      <c r="R305" s="20">
        <f t="shared" si="26"/>
        <v>10.133333333333335</v>
      </c>
      <c r="S305" s="4">
        <f t="shared" si="27"/>
        <v>3.1333333333333333</v>
      </c>
    </row>
    <row r="306" spans="1:19" x14ac:dyDescent="0.2">
      <c r="A306" s="1">
        <v>2010</v>
      </c>
      <c r="B306" s="1">
        <v>-7.9</v>
      </c>
      <c r="C306" s="1">
        <v>-6</v>
      </c>
      <c r="D306" s="1">
        <v>-4.9000000000000004</v>
      </c>
      <c r="E306" s="1">
        <v>-0.6</v>
      </c>
      <c r="F306" s="1">
        <v>3.4</v>
      </c>
      <c r="G306" s="1">
        <v>8.6999999999999993</v>
      </c>
      <c r="H306" s="1">
        <v>10.6</v>
      </c>
      <c r="I306" s="1">
        <v>11.7</v>
      </c>
      <c r="J306" s="1">
        <v>5.6</v>
      </c>
      <c r="K306" s="1">
        <v>1.1000000000000001</v>
      </c>
      <c r="L306" s="1">
        <v>0.8</v>
      </c>
      <c r="M306" s="1">
        <v>-6.7</v>
      </c>
      <c r="N306" s="1">
        <v>1.3</v>
      </c>
      <c r="P306" s="4">
        <f t="shared" si="24"/>
        <v>-6.166666666666667</v>
      </c>
      <c r="Q306" s="4">
        <f t="shared" si="25"/>
        <v>-0.70000000000000007</v>
      </c>
      <c r="R306" s="20">
        <f t="shared" si="26"/>
        <v>10.333333333333332</v>
      </c>
      <c r="S306" s="4">
        <f t="shared" si="27"/>
        <v>2.4999999999999996</v>
      </c>
    </row>
    <row r="307" spans="1:19" x14ac:dyDescent="0.2">
      <c r="A307" s="1">
        <v>2011</v>
      </c>
      <c r="B307" s="1">
        <v>-6.2</v>
      </c>
      <c r="C307" s="1">
        <v>-5.6</v>
      </c>
      <c r="D307" s="1">
        <v>-4.8</v>
      </c>
      <c r="E307" s="1">
        <v>-0.1</v>
      </c>
      <c r="F307" s="1">
        <v>3.8</v>
      </c>
      <c r="G307" s="1">
        <v>8.3000000000000007</v>
      </c>
      <c r="H307" s="1">
        <v>10.8</v>
      </c>
      <c r="I307" s="1">
        <v>12.8</v>
      </c>
      <c r="J307" s="1">
        <v>10</v>
      </c>
      <c r="K307" s="1">
        <v>1.3</v>
      </c>
      <c r="L307" s="1">
        <v>0.1</v>
      </c>
      <c r="M307" s="1">
        <v>-4.8</v>
      </c>
      <c r="N307" s="1">
        <v>2.1</v>
      </c>
      <c r="P307" s="4">
        <f t="shared" si="24"/>
        <v>-7.8</v>
      </c>
      <c r="Q307" s="4">
        <f t="shared" si="25"/>
        <v>-0.36666666666666653</v>
      </c>
      <c r="R307" s="20">
        <f t="shared" si="26"/>
        <v>10.633333333333335</v>
      </c>
      <c r="S307" s="4">
        <f t="shared" si="27"/>
        <v>3.8000000000000003</v>
      </c>
    </row>
    <row r="308" spans="1:19" x14ac:dyDescent="0.2">
      <c r="A308" s="1">
        <v>2012</v>
      </c>
      <c r="B308" s="1">
        <v>-8.9</v>
      </c>
      <c r="C308" s="1">
        <v>-9.6999999999999993</v>
      </c>
      <c r="D308" s="1">
        <v>-3.5</v>
      </c>
      <c r="E308" s="1">
        <v>-0.4</v>
      </c>
      <c r="F308" s="1">
        <v>3.5</v>
      </c>
      <c r="G308" s="1">
        <v>11.4</v>
      </c>
      <c r="H308" s="1">
        <v>13.7</v>
      </c>
      <c r="I308" s="1">
        <v>13.1</v>
      </c>
      <c r="J308" s="1">
        <v>9</v>
      </c>
      <c r="K308" s="1">
        <v>5.3</v>
      </c>
      <c r="L308" s="1">
        <v>1.3</v>
      </c>
      <c r="M308" s="1">
        <v>-6.9</v>
      </c>
      <c r="N308" s="1">
        <v>2.2999999999999998</v>
      </c>
      <c r="P308" s="4">
        <f t="shared" si="24"/>
        <v>-6.5666666666666664</v>
      </c>
      <c r="Q308" s="4">
        <f t="shared" si="25"/>
        <v>-0.1333333333333333</v>
      </c>
      <c r="R308" s="20">
        <f t="shared" si="26"/>
        <v>12.733333333333334</v>
      </c>
      <c r="S308" s="4">
        <f t="shared" si="27"/>
        <v>5.2</v>
      </c>
    </row>
    <row r="309" spans="1:19" x14ac:dyDescent="0.2">
      <c r="A309" s="1">
        <v>2013</v>
      </c>
      <c r="B309" s="1">
        <v>-6.3</v>
      </c>
      <c r="C309" s="1">
        <v>-6.5</v>
      </c>
      <c r="D309" s="1">
        <v>-4.7</v>
      </c>
      <c r="E309" s="1">
        <v>0.9</v>
      </c>
      <c r="F309" s="1">
        <v>4.0999999999999996</v>
      </c>
      <c r="G309" s="1">
        <v>7.7</v>
      </c>
      <c r="H309" s="1">
        <v>10.5</v>
      </c>
      <c r="I309" s="1">
        <v>11.9</v>
      </c>
      <c r="J309" s="1">
        <v>6</v>
      </c>
      <c r="K309" s="1">
        <v>5.0999999999999996</v>
      </c>
      <c r="L309" s="1">
        <v>-0.7</v>
      </c>
      <c r="M309" s="1">
        <v>-2.9</v>
      </c>
      <c r="N309" s="1">
        <v>2.1</v>
      </c>
      <c r="P309" s="4">
        <f t="shared" si="24"/>
        <v>-2.7666666666666671</v>
      </c>
      <c r="Q309" s="4">
        <f t="shared" si="25"/>
        <v>9.9999999999999797E-2</v>
      </c>
      <c r="R309" s="20">
        <f t="shared" si="26"/>
        <v>10.033333333333333</v>
      </c>
      <c r="S309" s="4">
        <f t="shared" si="27"/>
        <v>3.4666666666666668</v>
      </c>
    </row>
    <row r="310" spans="1:19" x14ac:dyDescent="0.2">
      <c r="A310" s="1">
        <v>2014</v>
      </c>
      <c r="B310" s="1">
        <v>-2.7</v>
      </c>
      <c r="C310" s="1">
        <v>-2.7</v>
      </c>
      <c r="D310" s="1">
        <v>-2.5</v>
      </c>
      <c r="E310" s="1">
        <v>-0.1</v>
      </c>
      <c r="F310" s="1">
        <v>3.1</v>
      </c>
      <c r="G310" s="1">
        <v>7.6</v>
      </c>
      <c r="H310" s="1">
        <v>9.5</v>
      </c>
      <c r="I310" s="1">
        <v>10.5</v>
      </c>
      <c r="J310" s="1">
        <v>5.9</v>
      </c>
      <c r="K310" s="1">
        <v>4</v>
      </c>
      <c r="L310" s="1">
        <v>1.3</v>
      </c>
      <c r="M310" s="1">
        <v>-4.4000000000000004</v>
      </c>
      <c r="N310" s="1">
        <v>2.5</v>
      </c>
      <c r="P310" s="4">
        <f t="shared" si="24"/>
        <v>-5.666666666666667</v>
      </c>
      <c r="Q310" s="4">
        <f t="shared" si="25"/>
        <v>0.16666666666666666</v>
      </c>
      <c r="R310" s="20">
        <f t="shared" si="26"/>
        <v>9.2000000000000011</v>
      </c>
      <c r="S310" s="4">
        <f t="shared" si="27"/>
        <v>3.7333333333333338</v>
      </c>
    </row>
    <row r="311" spans="1:19" x14ac:dyDescent="0.2">
      <c r="A311" s="1">
        <v>2015</v>
      </c>
      <c r="B311" s="1">
        <v>-5.7</v>
      </c>
      <c r="C311" s="1">
        <v>-6.9</v>
      </c>
      <c r="D311" s="1">
        <v>-5.5</v>
      </c>
      <c r="E311" s="1">
        <v>-2.8</v>
      </c>
      <c r="F311" s="1">
        <v>5.6</v>
      </c>
      <c r="G311" s="1">
        <v>7.7</v>
      </c>
      <c r="H311" s="1">
        <v>13.9</v>
      </c>
      <c r="I311" s="1">
        <v>12.8</v>
      </c>
      <c r="J311" s="1">
        <v>7.8</v>
      </c>
      <c r="K311" s="1">
        <v>3</v>
      </c>
      <c r="L311" s="1">
        <v>2.5</v>
      </c>
      <c r="M311" s="1">
        <v>-0.2</v>
      </c>
      <c r="N311" s="1">
        <v>2.7</v>
      </c>
      <c r="P311" s="4">
        <f t="shared" si="24"/>
        <v>-2.7000000000000006</v>
      </c>
      <c r="Q311" s="4">
        <f t="shared" si="25"/>
        <v>-0.90000000000000036</v>
      </c>
      <c r="R311" s="20">
        <f t="shared" si="26"/>
        <v>11.466666666666669</v>
      </c>
      <c r="S311" s="4">
        <f t="shared" si="27"/>
        <v>4.4333333333333336</v>
      </c>
    </row>
    <row r="312" spans="1:19" x14ac:dyDescent="0.2">
      <c r="A312" s="1">
        <v>2016</v>
      </c>
      <c r="B312" s="1">
        <v>-5.9</v>
      </c>
      <c r="C312" s="1">
        <v>-2</v>
      </c>
      <c r="D312" s="1">
        <v>-4</v>
      </c>
      <c r="E312" s="1">
        <v>2.6</v>
      </c>
      <c r="F312" s="1">
        <v>3.3</v>
      </c>
      <c r="G312" s="1">
        <v>9.3000000000000007</v>
      </c>
      <c r="H312" s="1">
        <v>11.5</v>
      </c>
      <c r="I312" s="1">
        <v>9.6999999999999993</v>
      </c>
      <c r="J312" s="1">
        <v>6.7</v>
      </c>
      <c r="K312" s="1">
        <v>1.4</v>
      </c>
      <c r="L312" s="1">
        <v>-1.8</v>
      </c>
      <c r="M312" s="1">
        <v>-4.8</v>
      </c>
      <c r="N312" s="1">
        <v>2.2000000000000002</v>
      </c>
      <c r="P312" s="4">
        <f t="shared" si="24"/>
        <v>-6.3000000000000007</v>
      </c>
      <c r="Q312" s="4">
        <f t="shared" si="25"/>
        <v>0.6333333333333333</v>
      </c>
      <c r="R312" s="20">
        <f t="shared" si="26"/>
        <v>10.166666666666666</v>
      </c>
      <c r="S312" s="4">
        <f t="shared" si="27"/>
        <v>2.1</v>
      </c>
    </row>
    <row r="313" spans="1:19" x14ac:dyDescent="0.2">
      <c r="A313" s="1">
        <v>2017</v>
      </c>
      <c r="B313" s="1">
        <v>-10.5</v>
      </c>
      <c r="C313" s="1">
        <v>-3.6</v>
      </c>
      <c r="D313" s="1">
        <v>-2.2000000000000002</v>
      </c>
      <c r="E313" s="1">
        <v>-1.4</v>
      </c>
      <c r="F313" s="1">
        <v>4.7</v>
      </c>
      <c r="G313" s="1">
        <v>10.4</v>
      </c>
      <c r="H313" s="1">
        <v>11.8</v>
      </c>
      <c r="I313" s="1">
        <v>13.4</v>
      </c>
      <c r="J313" s="1">
        <v>5.7</v>
      </c>
      <c r="K313" s="1">
        <v>2.5</v>
      </c>
      <c r="L313" s="1">
        <v>-2.5</v>
      </c>
      <c r="M313" s="1">
        <v>-6.3</v>
      </c>
      <c r="N313" s="1">
        <v>1.8</v>
      </c>
      <c r="P313" s="4">
        <f t="shared" si="24"/>
        <v>-6.0666666666666664</v>
      </c>
      <c r="Q313" s="4">
        <f t="shared" si="25"/>
        <v>0.3666666666666667</v>
      </c>
      <c r="R313" s="20">
        <f t="shared" si="26"/>
        <v>11.866666666666667</v>
      </c>
      <c r="S313" s="4">
        <f t="shared" si="27"/>
        <v>1.8999999999999997</v>
      </c>
    </row>
    <row r="314" spans="1:19" x14ac:dyDescent="0.2">
      <c r="A314" s="1">
        <v>2018</v>
      </c>
      <c r="B314" s="1">
        <v>-4.2</v>
      </c>
      <c r="C314" s="1">
        <v>-7.7</v>
      </c>
      <c r="D314" s="1">
        <v>-3.8</v>
      </c>
      <c r="E314" s="1">
        <v>4.2</v>
      </c>
      <c r="F314" s="1">
        <v>6.9</v>
      </c>
      <c r="G314" s="1">
        <v>8.3000000000000007</v>
      </c>
      <c r="H314" s="1">
        <v>10.4</v>
      </c>
      <c r="I314" s="1">
        <v>12</v>
      </c>
      <c r="J314" s="1">
        <v>7</v>
      </c>
      <c r="K314" s="1">
        <v>4.0999999999999996</v>
      </c>
      <c r="L314" s="1">
        <v>0.3</v>
      </c>
      <c r="M314" s="1">
        <v>-6.2</v>
      </c>
      <c r="N314" s="1">
        <v>2.6</v>
      </c>
      <c r="P314" s="4">
        <f t="shared" si="24"/>
        <v>-7.3</v>
      </c>
      <c r="Q314" s="4">
        <f t="shared" si="25"/>
        <v>2.4333333333333336</v>
      </c>
      <c r="R314" s="20">
        <f t="shared" si="26"/>
        <v>10.233333333333334</v>
      </c>
      <c r="S314" s="4">
        <f t="shared" si="27"/>
        <v>3.8000000000000003</v>
      </c>
    </row>
    <row r="315" spans="1:19" x14ac:dyDescent="0.2">
      <c r="A315" s="1">
        <v>2019</v>
      </c>
      <c r="B315" s="2">
        <v>-9.1999999999999993</v>
      </c>
      <c r="C315" s="2">
        <v>-6.5</v>
      </c>
      <c r="D315" s="2">
        <v>-3.5</v>
      </c>
      <c r="E315" s="2">
        <v>-0.1</v>
      </c>
      <c r="F315" s="2">
        <v>1.3</v>
      </c>
      <c r="G315" s="2">
        <v>11.6</v>
      </c>
      <c r="H315" s="2">
        <v>11.1</v>
      </c>
      <c r="I315" s="2">
        <v>13.1</v>
      </c>
      <c r="J315" s="2">
        <v>7.8</v>
      </c>
      <c r="K315" s="2">
        <v>6.6</v>
      </c>
      <c r="L315" s="2">
        <v>0.8</v>
      </c>
      <c r="M315" s="2">
        <v>-4.4000000000000004</v>
      </c>
      <c r="N315" s="2">
        <v>2.4</v>
      </c>
      <c r="O315" s="4"/>
      <c r="P315" s="4">
        <f t="shared" si="24"/>
        <v>-4.5333333333333341</v>
      </c>
      <c r="Q315" s="4">
        <f t="shared" si="25"/>
        <v>-0.76666666666666661</v>
      </c>
      <c r="R315" s="20">
        <f t="shared" si="26"/>
        <v>11.933333333333332</v>
      </c>
      <c r="S315" s="4">
        <f t="shared" si="27"/>
        <v>5.0666666666666664</v>
      </c>
    </row>
    <row r="316" spans="1:19" x14ac:dyDescent="0.2">
      <c r="A316" s="1">
        <v>2020</v>
      </c>
      <c r="B316" s="1">
        <v>-4.5</v>
      </c>
      <c r="C316" s="1">
        <v>-4.7</v>
      </c>
      <c r="D316" s="1">
        <v>-3.9</v>
      </c>
      <c r="E316" s="1">
        <v>0.3</v>
      </c>
      <c r="F316" s="1">
        <v>3.8</v>
      </c>
      <c r="G316" s="1">
        <v>7.6</v>
      </c>
      <c r="H316" s="1">
        <v>10.4</v>
      </c>
      <c r="I316" s="1">
        <v>11.8</v>
      </c>
      <c r="J316" s="1">
        <v>8.1</v>
      </c>
      <c r="K316" s="1">
        <v>3.2</v>
      </c>
      <c r="L316" s="1">
        <v>1.5</v>
      </c>
      <c r="M316" s="1">
        <v>-2.5</v>
      </c>
      <c r="N316" s="2">
        <v>2.6</v>
      </c>
      <c r="P316" s="4"/>
      <c r="Q316" s="4">
        <f t="shared" si="25"/>
        <v>6.6666666666666582E-2</v>
      </c>
      <c r="R316" s="20">
        <f t="shared" si="26"/>
        <v>9.9333333333333336</v>
      </c>
      <c r="S316" s="4">
        <f t="shared" si="27"/>
        <v>4.2666666666666666</v>
      </c>
    </row>
    <row r="317" spans="1:19" x14ac:dyDescent="0.2">
      <c r="N317" s="4">
        <f>AVERAGE(N257:N316)</f>
        <v>1.5282358798437656</v>
      </c>
      <c r="O317" s="4">
        <f t="shared" ref="O317:S317" si="28">AVERAGE(O257:O316)</f>
        <v>2.7804600117736098</v>
      </c>
      <c r="P317" s="4">
        <f t="shared" si="28"/>
        <v>-5.9493088111551886</v>
      </c>
      <c r="Q317" s="4">
        <f t="shared" si="28"/>
        <v>-0.33196217494089819</v>
      </c>
      <c r="R317" s="4">
        <f t="shared" si="28"/>
        <v>9.5329710144927517</v>
      </c>
      <c r="S317" s="4">
        <f t="shared" si="28"/>
        <v>2.834310566348031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CAF8-818A-B04B-B973-CB354117C7EF}">
  <dimension ref="A1:R316"/>
  <sheetViews>
    <sheetView topLeftCell="A286" zoomScale="75" workbookViewId="0">
      <selection activeCell="N316" sqref="N316:R316"/>
    </sheetView>
  </sheetViews>
  <sheetFormatPr baseColWidth="10" defaultRowHeight="16" x14ac:dyDescent="0.2"/>
  <sheetData>
    <row r="1" spans="1:18" x14ac:dyDescent="0.2">
      <c r="A1" s="1" t="s">
        <v>30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3" t="s">
        <v>13</v>
      </c>
      <c r="P1" s="3" t="s">
        <v>14</v>
      </c>
      <c r="Q1" s="3" t="s">
        <v>15</v>
      </c>
      <c r="R1" s="3" t="s">
        <v>16</v>
      </c>
    </row>
    <row r="2" spans="1:18" x14ac:dyDescent="0.2">
      <c r="A2" s="1">
        <v>1961</v>
      </c>
      <c r="B2" s="1">
        <v>22</v>
      </c>
      <c r="C2" s="1">
        <v>48</v>
      </c>
      <c r="D2" s="1">
        <v>35</v>
      </c>
      <c r="E2" s="1">
        <v>69</v>
      </c>
      <c r="F2" s="1">
        <v>182</v>
      </c>
      <c r="G2" s="1">
        <v>88</v>
      </c>
      <c r="H2" s="1">
        <v>91</v>
      </c>
      <c r="I2" s="1">
        <v>18</v>
      </c>
      <c r="J2" s="1">
        <v>19</v>
      </c>
      <c r="K2" s="1">
        <v>51</v>
      </c>
      <c r="L2" s="1">
        <v>94</v>
      </c>
      <c r="M2" s="1">
        <v>89</v>
      </c>
      <c r="N2" s="1">
        <v>805</v>
      </c>
      <c r="O2">
        <f>M2+B3+C3</f>
        <v>230</v>
      </c>
      <c r="P2">
        <f>SUM(D2:F2)</f>
        <v>286</v>
      </c>
      <c r="Q2">
        <f>SUM(G2:I2)</f>
        <v>197</v>
      </c>
      <c r="R2">
        <f>SUM(J2:L2)</f>
        <v>164</v>
      </c>
    </row>
    <row r="3" spans="1:18" x14ac:dyDescent="0.2">
      <c r="A3" s="1">
        <v>1962</v>
      </c>
      <c r="B3" s="1">
        <v>73</v>
      </c>
      <c r="C3" s="1">
        <v>68</v>
      </c>
      <c r="D3" s="1">
        <v>181</v>
      </c>
      <c r="E3" s="1">
        <v>71</v>
      </c>
      <c r="F3" s="1">
        <v>30</v>
      </c>
      <c r="G3" s="1">
        <v>115</v>
      </c>
      <c r="H3" s="1">
        <v>56</v>
      </c>
      <c r="I3" s="1">
        <v>22</v>
      </c>
      <c r="J3" s="1">
        <v>52</v>
      </c>
      <c r="K3" s="1">
        <v>23</v>
      </c>
      <c r="L3" s="1">
        <v>96</v>
      </c>
      <c r="M3" s="1">
        <v>55</v>
      </c>
      <c r="N3" s="1">
        <v>842</v>
      </c>
      <c r="O3">
        <f t="shared" ref="O3:O60" si="0">M3+B4+C4</f>
        <v>201</v>
      </c>
      <c r="P3">
        <f t="shared" ref="P3:P61" si="1">SUM(D3:F3)</f>
        <v>282</v>
      </c>
      <c r="Q3">
        <f t="shared" ref="Q3:Q61" si="2">SUM(G3:I3)</f>
        <v>193</v>
      </c>
      <c r="R3">
        <f t="shared" ref="R3:R61" si="3">SUM(J3:L3)</f>
        <v>171</v>
      </c>
    </row>
    <row r="4" spans="1:18" x14ac:dyDescent="0.2">
      <c r="A4" s="1">
        <v>1963</v>
      </c>
      <c r="B4" s="1">
        <v>96</v>
      </c>
      <c r="C4" s="1">
        <v>50</v>
      </c>
      <c r="D4" s="1">
        <v>56</v>
      </c>
      <c r="E4" s="1">
        <v>56</v>
      </c>
      <c r="F4" s="1">
        <v>40</v>
      </c>
      <c r="G4" s="1">
        <v>85</v>
      </c>
      <c r="H4" s="1">
        <v>61</v>
      </c>
      <c r="I4" s="1">
        <v>120</v>
      </c>
      <c r="J4" s="1">
        <v>43</v>
      </c>
      <c r="K4" s="1">
        <v>24</v>
      </c>
      <c r="L4" s="1">
        <v>41</v>
      </c>
      <c r="M4" s="1">
        <v>115</v>
      </c>
      <c r="N4" s="1">
        <v>787</v>
      </c>
      <c r="O4">
        <f t="shared" si="0"/>
        <v>191</v>
      </c>
      <c r="P4">
        <f t="shared" si="1"/>
        <v>152</v>
      </c>
      <c r="Q4">
        <f t="shared" si="2"/>
        <v>266</v>
      </c>
      <c r="R4">
        <f t="shared" si="3"/>
        <v>108</v>
      </c>
    </row>
    <row r="5" spans="1:18" x14ac:dyDescent="0.2">
      <c r="A5" s="1">
        <v>1964</v>
      </c>
      <c r="B5" s="1">
        <v>12</v>
      </c>
      <c r="C5" s="1">
        <v>64</v>
      </c>
      <c r="D5" s="1">
        <v>96</v>
      </c>
      <c r="E5" s="1">
        <v>88</v>
      </c>
      <c r="F5" s="1">
        <v>92</v>
      </c>
      <c r="G5" s="1">
        <v>159</v>
      </c>
      <c r="H5" s="1">
        <v>87</v>
      </c>
      <c r="I5" s="1">
        <v>99</v>
      </c>
      <c r="J5" s="1">
        <v>89</v>
      </c>
      <c r="K5" s="1">
        <v>134</v>
      </c>
      <c r="L5" s="1">
        <v>87</v>
      </c>
      <c r="M5" s="1">
        <v>140</v>
      </c>
      <c r="N5" s="1">
        <v>1147</v>
      </c>
      <c r="O5">
        <f t="shared" si="0"/>
        <v>251</v>
      </c>
      <c r="P5">
        <f t="shared" si="1"/>
        <v>276</v>
      </c>
      <c r="Q5">
        <f t="shared" si="2"/>
        <v>345</v>
      </c>
      <c r="R5">
        <f t="shared" si="3"/>
        <v>310</v>
      </c>
    </row>
    <row r="6" spans="1:18" x14ac:dyDescent="0.2">
      <c r="A6" s="1">
        <v>1965</v>
      </c>
      <c r="B6" s="1">
        <v>45</v>
      </c>
      <c r="C6" s="1">
        <v>66</v>
      </c>
      <c r="D6" s="1">
        <v>70</v>
      </c>
      <c r="E6" s="1">
        <v>85</v>
      </c>
      <c r="F6" s="1">
        <v>149</v>
      </c>
      <c r="G6" s="1">
        <v>66</v>
      </c>
      <c r="H6" s="1">
        <v>78</v>
      </c>
      <c r="I6" s="1">
        <v>65</v>
      </c>
      <c r="J6" s="1">
        <v>140</v>
      </c>
      <c r="K6" s="1">
        <v>0</v>
      </c>
      <c r="L6" s="1">
        <v>113</v>
      </c>
      <c r="M6" s="1">
        <v>99</v>
      </c>
      <c r="N6" s="1">
        <v>976</v>
      </c>
      <c r="O6">
        <f t="shared" si="0"/>
        <v>208</v>
      </c>
      <c r="P6">
        <f t="shared" si="1"/>
        <v>304</v>
      </c>
      <c r="Q6">
        <f t="shared" si="2"/>
        <v>209</v>
      </c>
      <c r="R6">
        <f t="shared" si="3"/>
        <v>253</v>
      </c>
    </row>
    <row r="7" spans="1:18" x14ac:dyDescent="0.2">
      <c r="A7" s="1">
        <v>1966</v>
      </c>
      <c r="B7" s="1">
        <v>89</v>
      </c>
      <c r="C7" s="1">
        <v>20</v>
      </c>
      <c r="D7" s="1">
        <v>82</v>
      </c>
      <c r="E7" s="1">
        <v>69</v>
      </c>
      <c r="F7" s="1">
        <v>57</v>
      </c>
      <c r="G7" s="1">
        <v>72</v>
      </c>
      <c r="H7" s="1">
        <v>144</v>
      </c>
      <c r="I7" s="1">
        <v>61</v>
      </c>
      <c r="J7" s="1">
        <v>24</v>
      </c>
      <c r="K7" s="1">
        <v>58</v>
      </c>
      <c r="L7" s="1">
        <v>58</v>
      </c>
      <c r="M7" s="1">
        <v>111</v>
      </c>
      <c r="N7" s="1">
        <v>845</v>
      </c>
      <c r="O7">
        <f t="shared" si="0"/>
        <v>215</v>
      </c>
      <c r="P7">
        <f t="shared" si="1"/>
        <v>208</v>
      </c>
      <c r="Q7">
        <f t="shared" si="2"/>
        <v>277</v>
      </c>
      <c r="R7">
        <f t="shared" si="3"/>
        <v>140</v>
      </c>
    </row>
    <row r="8" spans="1:18" x14ac:dyDescent="0.2">
      <c r="A8" s="1">
        <v>1967</v>
      </c>
      <c r="B8" s="1">
        <v>64</v>
      </c>
      <c r="C8" s="1">
        <v>40</v>
      </c>
      <c r="D8" s="1">
        <v>75</v>
      </c>
      <c r="E8" s="1">
        <v>125</v>
      </c>
      <c r="F8" s="1">
        <v>90</v>
      </c>
      <c r="G8" s="1">
        <v>127</v>
      </c>
      <c r="H8" s="1">
        <v>64</v>
      </c>
      <c r="I8" s="1">
        <v>11</v>
      </c>
      <c r="J8" s="1">
        <v>92</v>
      </c>
      <c r="K8" s="1">
        <v>37</v>
      </c>
      <c r="L8" s="1">
        <v>54</v>
      </c>
      <c r="M8" s="1">
        <v>126</v>
      </c>
      <c r="N8" s="1">
        <v>905</v>
      </c>
      <c r="O8">
        <f t="shared" si="0"/>
        <v>295</v>
      </c>
      <c r="P8">
        <f t="shared" si="1"/>
        <v>290</v>
      </c>
      <c r="Q8">
        <f t="shared" si="2"/>
        <v>202</v>
      </c>
      <c r="R8">
        <f t="shared" si="3"/>
        <v>183</v>
      </c>
    </row>
    <row r="9" spans="1:18" x14ac:dyDescent="0.2">
      <c r="A9" s="1">
        <v>1968</v>
      </c>
      <c r="B9" s="1">
        <v>128</v>
      </c>
      <c r="C9" s="1">
        <v>41</v>
      </c>
      <c r="D9" s="1">
        <v>19</v>
      </c>
      <c r="E9" s="1">
        <v>40</v>
      </c>
      <c r="F9" s="1">
        <v>72</v>
      </c>
      <c r="G9" s="1">
        <v>80</v>
      </c>
      <c r="H9" s="1">
        <v>76</v>
      </c>
      <c r="I9" s="1">
        <v>156</v>
      </c>
      <c r="J9" s="1">
        <v>110</v>
      </c>
      <c r="K9" s="1">
        <v>15</v>
      </c>
      <c r="L9" s="1">
        <v>113</v>
      </c>
      <c r="M9" s="1">
        <v>68</v>
      </c>
      <c r="N9" s="1">
        <v>918</v>
      </c>
      <c r="O9">
        <f t="shared" si="0"/>
        <v>230</v>
      </c>
      <c r="P9">
        <f t="shared" si="1"/>
        <v>131</v>
      </c>
      <c r="Q9">
        <f t="shared" si="2"/>
        <v>312</v>
      </c>
      <c r="R9">
        <f t="shared" si="3"/>
        <v>238</v>
      </c>
    </row>
    <row r="10" spans="1:18" x14ac:dyDescent="0.2">
      <c r="A10" s="1">
        <v>1969</v>
      </c>
      <c r="B10" s="1">
        <v>41</v>
      </c>
      <c r="C10" s="1">
        <v>121</v>
      </c>
      <c r="D10" s="1">
        <v>59</v>
      </c>
      <c r="E10" s="1">
        <v>84</v>
      </c>
      <c r="F10" s="1">
        <v>65</v>
      </c>
      <c r="G10" s="1">
        <v>154</v>
      </c>
      <c r="H10" s="1">
        <v>84</v>
      </c>
      <c r="I10" s="1">
        <v>125</v>
      </c>
      <c r="J10" s="1">
        <v>81</v>
      </c>
      <c r="K10" s="1">
        <v>7</v>
      </c>
      <c r="L10" s="1">
        <v>88</v>
      </c>
      <c r="M10" s="1">
        <v>154</v>
      </c>
      <c r="N10" s="1">
        <v>1063</v>
      </c>
      <c r="O10">
        <f t="shared" si="0"/>
        <v>417</v>
      </c>
      <c r="P10">
        <f t="shared" si="1"/>
        <v>208</v>
      </c>
      <c r="Q10">
        <f t="shared" si="2"/>
        <v>363</v>
      </c>
      <c r="R10">
        <f t="shared" si="3"/>
        <v>176</v>
      </c>
    </row>
    <row r="11" spans="1:18" x14ac:dyDescent="0.2">
      <c r="A11" s="1">
        <v>1970</v>
      </c>
      <c r="B11" s="1">
        <v>134</v>
      </c>
      <c r="C11" s="1">
        <v>129</v>
      </c>
      <c r="D11" s="1">
        <v>97</v>
      </c>
      <c r="E11" s="1">
        <v>84</v>
      </c>
      <c r="F11" s="1">
        <v>113</v>
      </c>
      <c r="G11" s="1">
        <v>130</v>
      </c>
      <c r="H11" s="1">
        <v>86</v>
      </c>
      <c r="I11" s="1">
        <v>87</v>
      </c>
      <c r="J11" s="1">
        <v>49</v>
      </c>
      <c r="K11" s="1">
        <v>83</v>
      </c>
      <c r="L11" s="1">
        <v>76</v>
      </c>
      <c r="M11" s="1">
        <v>56</v>
      </c>
      <c r="N11" s="1">
        <v>1124</v>
      </c>
      <c r="O11">
        <f t="shared" si="0"/>
        <v>161</v>
      </c>
      <c r="P11">
        <f t="shared" si="1"/>
        <v>294</v>
      </c>
      <c r="Q11">
        <f t="shared" si="2"/>
        <v>303</v>
      </c>
      <c r="R11">
        <f t="shared" si="3"/>
        <v>208</v>
      </c>
    </row>
    <row r="12" spans="1:18" x14ac:dyDescent="0.2">
      <c r="A12" s="1">
        <v>1971</v>
      </c>
      <c r="B12" s="1">
        <v>64</v>
      </c>
      <c r="C12" s="1">
        <v>41</v>
      </c>
      <c r="D12" s="1">
        <v>53</v>
      </c>
      <c r="E12" s="1">
        <v>30</v>
      </c>
      <c r="F12" s="1">
        <v>40</v>
      </c>
      <c r="G12" s="1">
        <v>79</v>
      </c>
      <c r="H12" s="1">
        <v>30</v>
      </c>
      <c r="I12" s="1">
        <v>44</v>
      </c>
      <c r="J12" s="1">
        <v>87</v>
      </c>
      <c r="K12" s="1">
        <v>49</v>
      </c>
      <c r="L12" s="1">
        <v>118</v>
      </c>
      <c r="M12" s="1">
        <v>29</v>
      </c>
      <c r="N12" s="1">
        <v>664</v>
      </c>
      <c r="O12">
        <f t="shared" si="0"/>
        <v>93</v>
      </c>
      <c r="P12">
        <f t="shared" si="1"/>
        <v>123</v>
      </c>
      <c r="Q12">
        <f t="shared" si="2"/>
        <v>153</v>
      </c>
      <c r="R12">
        <f t="shared" si="3"/>
        <v>254</v>
      </c>
    </row>
    <row r="13" spans="1:18" x14ac:dyDescent="0.2">
      <c r="A13" s="1">
        <v>1972</v>
      </c>
      <c r="B13" s="1">
        <v>15</v>
      </c>
      <c r="C13" s="1">
        <v>49</v>
      </c>
      <c r="D13" s="1">
        <v>13</v>
      </c>
      <c r="E13" s="1">
        <v>122</v>
      </c>
      <c r="F13" s="1">
        <v>45</v>
      </c>
      <c r="G13" s="1">
        <v>46</v>
      </c>
      <c r="H13" s="1">
        <v>188</v>
      </c>
      <c r="I13" s="1">
        <v>218</v>
      </c>
      <c r="J13" s="1">
        <v>32</v>
      </c>
      <c r="K13" s="1">
        <v>116</v>
      </c>
      <c r="L13" s="1">
        <v>112</v>
      </c>
      <c r="M13" s="1">
        <v>5</v>
      </c>
      <c r="N13" s="1">
        <v>961</v>
      </c>
      <c r="O13">
        <f t="shared" si="0"/>
        <v>119</v>
      </c>
      <c r="P13">
        <f t="shared" si="1"/>
        <v>180</v>
      </c>
      <c r="Q13">
        <f t="shared" si="2"/>
        <v>452</v>
      </c>
      <c r="R13">
        <f t="shared" si="3"/>
        <v>260</v>
      </c>
    </row>
    <row r="14" spans="1:18" x14ac:dyDescent="0.2">
      <c r="A14" s="1">
        <v>1973</v>
      </c>
      <c r="B14" s="1">
        <v>32</v>
      </c>
      <c r="C14" s="1">
        <v>82</v>
      </c>
      <c r="D14" s="1">
        <v>33</v>
      </c>
      <c r="E14" s="1">
        <v>135</v>
      </c>
      <c r="F14" s="1">
        <v>19</v>
      </c>
      <c r="G14" s="1">
        <v>100</v>
      </c>
      <c r="H14" s="1">
        <v>72</v>
      </c>
      <c r="I14" s="1">
        <v>77</v>
      </c>
      <c r="J14" s="1">
        <v>82</v>
      </c>
      <c r="K14" s="1">
        <v>56</v>
      </c>
      <c r="L14" s="1">
        <v>65</v>
      </c>
      <c r="M14" s="1">
        <v>74</v>
      </c>
      <c r="N14" s="1">
        <v>827</v>
      </c>
      <c r="O14">
        <f t="shared" si="0"/>
        <v>199</v>
      </c>
      <c r="P14">
        <f t="shared" si="1"/>
        <v>187</v>
      </c>
      <c r="Q14">
        <f t="shared" si="2"/>
        <v>249</v>
      </c>
      <c r="R14">
        <f t="shared" si="3"/>
        <v>203</v>
      </c>
    </row>
    <row r="15" spans="1:18" x14ac:dyDescent="0.2">
      <c r="A15" s="1">
        <v>1974</v>
      </c>
      <c r="B15" s="1">
        <v>87</v>
      </c>
      <c r="C15" s="1">
        <v>38</v>
      </c>
      <c r="D15" s="1">
        <v>18</v>
      </c>
      <c r="E15" s="1">
        <v>68</v>
      </c>
      <c r="F15" s="1">
        <v>129</v>
      </c>
      <c r="G15" s="1">
        <v>177</v>
      </c>
      <c r="H15" s="1">
        <v>121</v>
      </c>
      <c r="I15" s="1">
        <v>65</v>
      </c>
      <c r="J15" s="1">
        <v>106</v>
      </c>
      <c r="K15" s="1">
        <v>159</v>
      </c>
      <c r="L15" s="1">
        <v>65</v>
      </c>
      <c r="M15" s="1">
        <v>58</v>
      </c>
      <c r="N15" s="1">
        <v>1091</v>
      </c>
      <c r="O15">
        <f t="shared" si="0"/>
        <v>116</v>
      </c>
      <c r="P15">
        <f t="shared" si="1"/>
        <v>215</v>
      </c>
      <c r="Q15">
        <f t="shared" si="2"/>
        <v>363</v>
      </c>
      <c r="R15">
        <f t="shared" si="3"/>
        <v>330</v>
      </c>
    </row>
    <row r="16" spans="1:18" x14ac:dyDescent="0.2">
      <c r="A16" s="1">
        <v>1975</v>
      </c>
      <c r="B16" s="1">
        <v>38</v>
      </c>
      <c r="C16" s="1">
        <v>20</v>
      </c>
      <c r="D16" s="1">
        <v>46</v>
      </c>
      <c r="E16" s="1">
        <v>43</v>
      </c>
      <c r="F16" s="1">
        <v>121</v>
      </c>
      <c r="G16" s="1">
        <v>66</v>
      </c>
      <c r="H16" s="1">
        <v>120</v>
      </c>
      <c r="I16" s="1">
        <v>116</v>
      </c>
      <c r="J16" s="1">
        <v>38</v>
      </c>
      <c r="K16" s="1">
        <v>74</v>
      </c>
      <c r="L16" s="1">
        <v>70</v>
      </c>
      <c r="M16" s="1">
        <v>21</v>
      </c>
      <c r="N16" s="1">
        <v>773</v>
      </c>
      <c r="O16">
        <f t="shared" si="0"/>
        <v>116</v>
      </c>
      <c r="P16">
        <f t="shared" si="1"/>
        <v>210</v>
      </c>
      <c r="Q16">
        <f t="shared" si="2"/>
        <v>302</v>
      </c>
      <c r="R16">
        <f t="shared" si="3"/>
        <v>182</v>
      </c>
    </row>
    <row r="17" spans="1:18" x14ac:dyDescent="0.2">
      <c r="A17" s="1">
        <v>1976</v>
      </c>
      <c r="B17" s="1">
        <v>82</v>
      </c>
      <c r="C17" s="1">
        <v>13</v>
      </c>
      <c r="D17" s="1">
        <v>38</v>
      </c>
      <c r="E17" s="1">
        <v>71</v>
      </c>
      <c r="F17" s="1">
        <v>59</v>
      </c>
      <c r="G17" s="1">
        <v>116</v>
      </c>
      <c r="H17" s="1">
        <v>132</v>
      </c>
      <c r="I17" s="1">
        <v>89</v>
      </c>
      <c r="J17" s="1">
        <v>110</v>
      </c>
      <c r="K17" s="1">
        <v>47</v>
      </c>
      <c r="L17" s="1">
        <v>85</v>
      </c>
      <c r="M17" s="1">
        <v>73</v>
      </c>
      <c r="N17" s="1">
        <v>915</v>
      </c>
      <c r="O17">
        <f t="shared" si="0"/>
        <v>199</v>
      </c>
      <c r="P17">
        <f t="shared" si="1"/>
        <v>168</v>
      </c>
      <c r="Q17">
        <f t="shared" si="2"/>
        <v>337</v>
      </c>
      <c r="R17">
        <f t="shared" si="3"/>
        <v>242</v>
      </c>
    </row>
    <row r="18" spans="1:18" x14ac:dyDescent="0.2">
      <c r="A18" s="1">
        <v>1977</v>
      </c>
      <c r="B18" s="1">
        <v>40</v>
      </c>
      <c r="C18" s="1">
        <v>86</v>
      </c>
      <c r="D18" s="1">
        <v>41</v>
      </c>
      <c r="E18" s="1">
        <v>47</v>
      </c>
      <c r="F18" s="1">
        <v>65</v>
      </c>
      <c r="G18" s="1">
        <v>65</v>
      </c>
      <c r="H18" s="1">
        <v>127</v>
      </c>
      <c r="I18" s="1">
        <v>76</v>
      </c>
      <c r="J18" s="1">
        <v>60</v>
      </c>
      <c r="K18" s="1">
        <v>52</v>
      </c>
      <c r="L18" s="1">
        <v>131</v>
      </c>
      <c r="M18" s="1">
        <v>81</v>
      </c>
      <c r="N18" s="1">
        <v>871</v>
      </c>
      <c r="O18">
        <f t="shared" si="0"/>
        <v>197</v>
      </c>
      <c r="P18">
        <f t="shared" si="1"/>
        <v>153</v>
      </c>
      <c r="Q18">
        <f t="shared" si="2"/>
        <v>268</v>
      </c>
      <c r="R18">
        <f t="shared" si="3"/>
        <v>243</v>
      </c>
    </row>
    <row r="19" spans="1:18" x14ac:dyDescent="0.2">
      <c r="A19" s="1">
        <v>1978</v>
      </c>
      <c r="B19" s="1">
        <v>29</v>
      </c>
      <c r="C19" s="1">
        <v>87</v>
      </c>
      <c r="D19" s="1">
        <v>84</v>
      </c>
      <c r="E19" s="1">
        <v>37</v>
      </c>
      <c r="F19" s="1">
        <v>123</v>
      </c>
      <c r="G19" s="1">
        <v>98</v>
      </c>
      <c r="H19" s="1">
        <v>69</v>
      </c>
      <c r="I19" s="1">
        <v>29</v>
      </c>
      <c r="J19" s="1">
        <v>115</v>
      </c>
      <c r="K19" s="1">
        <v>19</v>
      </c>
      <c r="L19" s="1">
        <v>16</v>
      </c>
      <c r="M19" s="1">
        <v>63</v>
      </c>
      <c r="N19" s="1">
        <v>769</v>
      </c>
      <c r="O19">
        <f t="shared" si="0"/>
        <v>205</v>
      </c>
      <c r="P19">
        <f t="shared" si="1"/>
        <v>244</v>
      </c>
      <c r="Q19">
        <f t="shared" si="2"/>
        <v>196</v>
      </c>
      <c r="R19">
        <f t="shared" si="3"/>
        <v>150</v>
      </c>
    </row>
    <row r="20" spans="1:18" x14ac:dyDescent="0.2">
      <c r="A20" s="1">
        <v>1979</v>
      </c>
      <c r="B20" s="1">
        <v>68</v>
      </c>
      <c r="C20" s="1">
        <v>74</v>
      </c>
      <c r="D20" s="1">
        <v>37</v>
      </c>
      <c r="E20" s="1">
        <v>52</v>
      </c>
      <c r="F20" s="1">
        <v>36</v>
      </c>
      <c r="G20" s="1">
        <v>78</v>
      </c>
      <c r="H20" s="1">
        <v>86</v>
      </c>
      <c r="I20" s="1">
        <v>77</v>
      </c>
      <c r="J20" s="1">
        <v>59</v>
      </c>
      <c r="K20" s="1">
        <v>52</v>
      </c>
      <c r="L20" s="1">
        <v>68</v>
      </c>
      <c r="M20" s="1">
        <v>85</v>
      </c>
      <c r="N20" s="1">
        <v>772</v>
      </c>
      <c r="O20">
        <f t="shared" si="0"/>
        <v>206</v>
      </c>
      <c r="P20">
        <f t="shared" si="1"/>
        <v>125</v>
      </c>
      <c r="Q20">
        <f t="shared" si="2"/>
        <v>241</v>
      </c>
      <c r="R20">
        <f t="shared" si="3"/>
        <v>179</v>
      </c>
    </row>
    <row r="21" spans="1:18" x14ac:dyDescent="0.2">
      <c r="A21" s="1">
        <v>1980</v>
      </c>
      <c r="B21" s="1">
        <v>49</v>
      </c>
      <c r="C21" s="1">
        <v>72</v>
      </c>
      <c r="D21" s="1">
        <v>38</v>
      </c>
      <c r="E21" s="1">
        <v>87</v>
      </c>
      <c r="F21" s="1">
        <v>133</v>
      </c>
      <c r="G21" s="1">
        <v>91</v>
      </c>
      <c r="H21" s="1">
        <v>78</v>
      </c>
      <c r="I21" s="1">
        <v>121</v>
      </c>
      <c r="J21" s="1">
        <v>50</v>
      </c>
      <c r="K21" s="1">
        <v>67</v>
      </c>
      <c r="L21" s="1">
        <v>127</v>
      </c>
      <c r="M21" s="1">
        <v>100</v>
      </c>
      <c r="N21" s="1">
        <v>1013</v>
      </c>
      <c r="O21">
        <f t="shared" si="0"/>
        <v>196</v>
      </c>
      <c r="P21">
        <f t="shared" si="1"/>
        <v>258</v>
      </c>
      <c r="Q21">
        <f t="shared" si="2"/>
        <v>290</v>
      </c>
      <c r="R21">
        <f t="shared" si="3"/>
        <v>244</v>
      </c>
    </row>
    <row r="22" spans="1:18" x14ac:dyDescent="0.2">
      <c r="A22" s="1">
        <v>1981</v>
      </c>
      <c r="B22" s="1">
        <v>58</v>
      </c>
      <c r="C22" s="1">
        <v>38</v>
      </c>
      <c r="D22" s="1">
        <v>137</v>
      </c>
      <c r="E22" s="1">
        <v>53</v>
      </c>
      <c r="F22" s="1">
        <v>110</v>
      </c>
      <c r="G22" s="1">
        <v>128</v>
      </c>
      <c r="H22" s="1">
        <v>101</v>
      </c>
      <c r="I22" s="1">
        <v>30</v>
      </c>
      <c r="J22" s="1">
        <v>75</v>
      </c>
      <c r="K22" s="1">
        <v>82</v>
      </c>
      <c r="L22" s="1">
        <v>81</v>
      </c>
      <c r="M22" s="1">
        <v>115</v>
      </c>
      <c r="N22" s="1">
        <v>1008</v>
      </c>
      <c r="O22">
        <f t="shared" si="0"/>
        <v>151</v>
      </c>
      <c r="P22">
        <f t="shared" si="1"/>
        <v>300</v>
      </c>
      <c r="Q22">
        <f t="shared" si="2"/>
        <v>259</v>
      </c>
      <c r="R22">
        <f t="shared" si="3"/>
        <v>238</v>
      </c>
    </row>
    <row r="23" spans="1:18" x14ac:dyDescent="0.2">
      <c r="A23" s="1">
        <v>1982</v>
      </c>
      <c r="B23" s="1">
        <v>21</v>
      </c>
      <c r="C23" s="1">
        <v>15</v>
      </c>
      <c r="D23" s="1">
        <v>115</v>
      </c>
      <c r="E23" s="1">
        <v>80</v>
      </c>
      <c r="F23" s="1">
        <v>65</v>
      </c>
      <c r="G23" s="1">
        <v>88</v>
      </c>
      <c r="H23" s="1">
        <v>68</v>
      </c>
      <c r="I23" s="1">
        <v>53</v>
      </c>
      <c r="J23" s="1">
        <v>25</v>
      </c>
      <c r="K23" s="1">
        <v>83</v>
      </c>
      <c r="L23" s="1">
        <v>34</v>
      </c>
      <c r="M23" s="1">
        <v>98</v>
      </c>
      <c r="N23" s="1">
        <v>745</v>
      </c>
      <c r="O23">
        <f t="shared" si="0"/>
        <v>176</v>
      </c>
      <c r="P23">
        <f t="shared" si="1"/>
        <v>260</v>
      </c>
      <c r="Q23">
        <f t="shared" si="2"/>
        <v>209</v>
      </c>
      <c r="R23">
        <f t="shared" si="3"/>
        <v>142</v>
      </c>
    </row>
    <row r="24" spans="1:18" x14ac:dyDescent="0.2">
      <c r="A24" s="1">
        <v>1983</v>
      </c>
      <c r="B24" s="1">
        <v>20</v>
      </c>
      <c r="C24" s="1">
        <v>58</v>
      </c>
      <c r="D24" s="1">
        <v>38</v>
      </c>
      <c r="E24" s="1">
        <v>40</v>
      </c>
      <c r="F24" s="1">
        <v>48</v>
      </c>
      <c r="G24" s="1">
        <v>112</v>
      </c>
      <c r="H24" s="1">
        <v>29</v>
      </c>
      <c r="I24" s="1">
        <v>52</v>
      </c>
      <c r="J24" s="1">
        <v>124</v>
      </c>
      <c r="K24" s="1">
        <v>49</v>
      </c>
      <c r="L24" s="1">
        <v>38</v>
      </c>
      <c r="M24" s="1">
        <v>49</v>
      </c>
      <c r="N24" s="1">
        <v>657</v>
      </c>
      <c r="O24">
        <f t="shared" si="0"/>
        <v>230</v>
      </c>
      <c r="P24">
        <f t="shared" si="1"/>
        <v>126</v>
      </c>
      <c r="Q24">
        <f t="shared" si="2"/>
        <v>193</v>
      </c>
      <c r="R24">
        <f t="shared" si="3"/>
        <v>211</v>
      </c>
    </row>
    <row r="25" spans="1:18" x14ac:dyDescent="0.2">
      <c r="A25" s="1">
        <v>1984</v>
      </c>
      <c r="B25" s="1">
        <v>90</v>
      </c>
      <c r="C25" s="1">
        <v>91</v>
      </c>
      <c r="D25" s="1">
        <v>70</v>
      </c>
      <c r="E25" s="1">
        <v>64</v>
      </c>
      <c r="F25" s="1">
        <v>96</v>
      </c>
      <c r="G25" s="1">
        <v>136</v>
      </c>
      <c r="H25" s="1">
        <v>79</v>
      </c>
      <c r="I25" s="1">
        <v>67</v>
      </c>
      <c r="J25" s="1">
        <v>52</v>
      </c>
      <c r="K25" s="1">
        <v>65</v>
      </c>
      <c r="L25" s="1">
        <v>42</v>
      </c>
      <c r="M25" s="1">
        <v>10</v>
      </c>
      <c r="N25" s="1">
        <v>862</v>
      </c>
      <c r="O25">
        <f t="shared" si="0"/>
        <v>109</v>
      </c>
      <c r="P25">
        <f t="shared" si="1"/>
        <v>230</v>
      </c>
      <c r="Q25">
        <f t="shared" si="2"/>
        <v>282</v>
      </c>
      <c r="R25">
        <f t="shared" si="3"/>
        <v>159</v>
      </c>
    </row>
    <row r="26" spans="1:18" x14ac:dyDescent="0.2">
      <c r="A26" s="1">
        <v>1985</v>
      </c>
      <c r="B26" s="1">
        <v>57</v>
      </c>
      <c r="C26" s="1">
        <v>42</v>
      </c>
      <c r="D26" s="1">
        <v>45</v>
      </c>
      <c r="E26" s="1">
        <v>111</v>
      </c>
      <c r="F26" s="1">
        <v>28</v>
      </c>
      <c r="G26" s="1">
        <v>108</v>
      </c>
      <c r="H26" s="1">
        <v>27</v>
      </c>
      <c r="I26" s="1">
        <v>112</v>
      </c>
      <c r="J26" s="1">
        <v>14</v>
      </c>
      <c r="K26" s="1">
        <v>34</v>
      </c>
      <c r="L26" s="1">
        <v>93</v>
      </c>
      <c r="M26" s="1">
        <v>78</v>
      </c>
      <c r="N26" s="1">
        <v>749</v>
      </c>
      <c r="O26">
        <f t="shared" si="0"/>
        <v>217</v>
      </c>
      <c r="P26">
        <f t="shared" si="1"/>
        <v>184</v>
      </c>
      <c r="Q26">
        <f t="shared" si="2"/>
        <v>247</v>
      </c>
      <c r="R26">
        <f t="shared" si="3"/>
        <v>141</v>
      </c>
    </row>
    <row r="27" spans="1:18" x14ac:dyDescent="0.2">
      <c r="A27" s="1">
        <v>1986</v>
      </c>
      <c r="B27" s="1">
        <v>71</v>
      </c>
      <c r="C27" s="1">
        <v>68</v>
      </c>
      <c r="D27" s="1">
        <v>38</v>
      </c>
      <c r="E27" s="1">
        <v>64</v>
      </c>
      <c r="F27" s="1">
        <v>92</v>
      </c>
      <c r="G27" s="1">
        <v>122</v>
      </c>
      <c r="H27" s="1">
        <v>168</v>
      </c>
      <c r="I27" s="1">
        <v>58</v>
      </c>
      <c r="J27" s="1">
        <v>14</v>
      </c>
      <c r="K27" s="1">
        <v>79</v>
      </c>
      <c r="L27" s="1">
        <v>34</v>
      </c>
      <c r="M27" s="1">
        <v>44</v>
      </c>
      <c r="N27" s="1">
        <v>852</v>
      </c>
      <c r="O27">
        <f t="shared" si="0"/>
        <v>173</v>
      </c>
      <c r="P27">
        <f t="shared" si="1"/>
        <v>194</v>
      </c>
      <c r="Q27">
        <f t="shared" si="2"/>
        <v>348</v>
      </c>
      <c r="R27">
        <f t="shared" si="3"/>
        <v>127</v>
      </c>
    </row>
    <row r="28" spans="1:18" x14ac:dyDescent="0.2">
      <c r="A28" s="1">
        <v>1987</v>
      </c>
      <c r="B28" s="1">
        <v>110</v>
      </c>
      <c r="C28" s="1">
        <v>19</v>
      </c>
      <c r="D28" s="1">
        <v>88</v>
      </c>
      <c r="E28" s="1">
        <v>71</v>
      </c>
      <c r="F28" s="1">
        <v>204</v>
      </c>
      <c r="G28" s="1">
        <v>52</v>
      </c>
      <c r="H28" s="1">
        <v>36</v>
      </c>
      <c r="I28" s="1">
        <v>53</v>
      </c>
      <c r="J28" s="1">
        <v>48</v>
      </c>
      <c r="K28" s="1">
        <v>28</v>
      </c>
      <c r="L28" s="1">
        <v>117</v>
      </c>
      <c r="M28" s="1">
        <v>54</v>
      </c>
      <c r="N28" s="1">
        <v>880</v>
      </c>
      <c r="O28">
        <f t="shared" si="0"/>
        <v>176</v>
      </c>
      <c r="P28">
        <f t="shared" si="1"/>
        <v>363</v>
      </c>
      <c r="Q28">
        <f t="shared" si="2"/>
        <v>141</v>
      </c>
      <c r="R28">
        <f t="shared" si="3"/>
        <v>193</v>
      </c>
    </row>
    <row r="29" spans="1:18" x14ac:dyDescent="0.2">
      <c r="A29" s="1">
        <v>1988</v>
      </c>
      <c r="B29" s="1">
        <v>63</v>
      </c>
      <c r="C29" s="1">
        <v>59</v>
      </c>
      <c r="D29" s="1">
        <v>130</v>
      </c>
      <c r="E29" s="1">
        <v>48</v>
      </c>
      <c r="F29" s="1">
        <v>86</v>
      </c>
      <c r="G29" s="1">
        <v>86</v>
      </c>
      <c r="H29" s="1">
        <v>20</v>
      </c>
      <c r="I29" s="1">
        <v>29</v>
      </c>
      <c r="J29" s="1">
        <v>105</v>
      </c>
      <c r="K29" s="1">
        <v>38</v>
      </c>
      <c r="L29" s="1">
        <v>53</v>
      </c>
      <c r="M29" s="1">
        <v>44</v>
      </c>
      <c r="N29" s="1">
        <v>761</v>
      </c>
      <c r="O29">
        <f t="shared" si="0"/>
        <v>79</v>
      </c>
      <c r="P29">
        <f t="shared" si="1"/>
        <v>264</v>
      </c>
      <c r="Q29">
        <f t="shared" si="2"/>
        <v>135</v>
      </c>
      <c r="R29">
        <f t="shared" si="3"/>
        <v>196</v>
      </c>
    </row>
    <row r="30" spans="1:18" x14ac:dyDescent="0.2">
      <c r="A30" s="1">
        <v>1989</v>
      </c>
      <c r="B30" s="1">
        <v>13</v>
      </c>
      <c r="C30" s="1">
        <v>22</v>
      </c>
      <c r="D30" s="1">
        <v>57</v>
      </c>
      <c r="E30" s="1">
        <v>76</v>
      </c>
      <c r="F30" s="1">
        <v>139</v>
      </c>
      <c r="G30" s="1">
        <v>130</v>
      </c>
      <c r="H30" s="1">
        <v>72</v>
      </c>
      <c r="I30" s="1">
        <v>125</v>
      </c>
      <c r="J30" s="1">
        <v>66</v>
      </c>
      <c r="K30" s="1">
        <v>73</v>
      </c>
      <c r="L30" s="1">
        <v>43</v>
      </c>
      <c r="M30" s="1">
        <v>20</v>
      </c>
      <c r="N30" s="1">
        <v>836</v>
      </c>
      <c r="O30">
        <f t="shared" si="0"/>
        <v>79.400000000000006</v>
      </c>
      <c r="P30">
        <f t="shared" si="1"/>
        <v>272</v>
      </c>
      <c r="Q30">
        <f t="shared" si="2"/>
        <v>327</v>
      </c>
      <c r="R30">
        <f t="shared" si="3"/>
        <v>182</v>
      </c>
    </row>
    <row r="31" spans="1:18" x14ac:dyDescent="0.2">
      <c r="A31" s="1">
        <v>1990</v>
      </c>
      <c r="B31" s="1">
        <v>7.5</v>
      </c>
      <c r="C31" s="1">
        <v>51.9</v>
      </c>
      <c r="D31" s="1">
        <v>33.5</v>
      </c>
      <c r="E31" s="1">
        <v>57.5</v>
      </c>
      <c r="F31" s="1">
        <v>41.7</v>
      </c>
      <c r="G31" s="1">
        <v>107.2</v>
      </c>
      <c r="H31" s="1">
        <v>85.7</v>
      </c>
      <c r="I31" s="1">
        <v>29.8</v>
      </c>
      <c r="J31" s="1">
        <v>58.8</v>
      </c>
      <c r="K31" s="1">
        <v>55.5</v>
      </c>
      <c r="L31" s="1">
        <v>56</v>
      </c>
      <c r="M31" s="1">
        <v>100.7</v>
      </c>
      <c r="N31" s="1">
        <v>685.8</v>
      </c>
      <c r="O31">
        <f t="shared" si="0"/>
        <v>198.3</v>
      </c>
      <c r="P31">
        <f t="shared" si="1"/>
        <v>132.69999999999999</v>
      </c>
      <c r="Q31">
        <f t="shared" si="2"/>
        <v>222.70000000000002</v>
      </c>
      <c r="R31">
        <f t="shared" si="3"/>
        <v>170.3</v>
      </c>
    </row>
    <row r="32" spans="1:18" x14ac:dyDescent="0.2">
      <c r="A32" s="1">
        <v>1991</v>
      </c>
      <c r="B32" s="1">
        <v>45.8</v>
      </c>
      <c r="C32" s="1">
        <v>51.8</v>
      </c>
      <c r="D32" s="1">
        <v>53.9</v>
      </c>
      <c r="E32" s="1">
        <v>61.9</v>
      </c>
      <c r="F32" s="1">
        <v>146.4</v>
      </c>
      <c r="G32" s="1">
        <v>93.8</v>
      </c>
      <c r="H32" s="1">
        <v>288</v>
      </c>
      <c r="I32" s="1">
        <v>104.6</v>
      </c>
      <c r="J32" s="1">
        <v>22.2</v>
      </c>
      <c r="K32" s="1">
        <v>136.19999999999999</v>
      </c>
      <c r="L32" s="1">
        <v>150.80000000000001</v>
      </c>
      <c r="M32" s="1">
        <v>60.1</v>
      </c>
      <c r="N32" s="1">
        <v>1215.5</v>
      </c>
      <c r="O32">
        <f t="shared" si="0"/>
        <v>114.4</v>
      </c>
      <c r="P32">
        <f t="shared" si="1"/>
        <v>262.2</v>
      </c>
      <c r="Q32">
        <f t="shared" si="2"/>
        <v>486.4</v>
      </c>
      <c r="R32">
        <f t="shared" si="3"/>
        <v>309.2</v>
      </c>
    </row>
    <row r="33" spans="1:18" x14ac:dyDescent="0.2">
      <c r="A33" s="1">
        <v>1992</v>
      </c>
      <c r="B33" s="1">
        <v>13.7</v>
      </c>
      <c r="C33" s="1">
        <v>40.6</v>
      </c>
      <c r="D33" s="1">
        <v>40.4</v>
      </c>
      <c r="E33" s="1">
        <v>54.2</v>
      </c>
      <c r="F33" s="1">
        <v>40.6</v>
      </c>
      <c r="G33" s="1">
        <v>282.5</v>
      </c>
      <c r="H33" s="1">
        <v>45.6</v>
      </c>
      <c r="I33" s="1">
        <v>2.8</v>
      </c>
      <c r="J33" s="1">
        <v>44.4</v>
      </c>
      <c r="K33" s="1">
        <v>166.2</v>
      </c>
      <c r="L33" s="1">
        <v>118.9</v>
      </c>
      <c r="M33" s="1">
        <v>58.5</v>
      </c>
      <c r="N33" s="1">
        <v>908.4</v>
      </c>
      <c r="O33">
        <f t="shared" si="0"/>
        <v>109.60000000000001</v>
      </c>
      <c r="P33">
        <f t="shared" si="1"/>
        <v>135.19999999999999</v>
      </c>
      <c r="Q33">
        <f t="shared" si="2"/>
        <v>330.90000000000003</v>
      </c>
      <c r="R33">
        <f t="shared" si="3"/>
        <v>329.5</v>
      </c>
    </row>
    <row r="34" spans="1:18" x14ac:dyDescent="0.2">
      <c r="A34" s="1">
        <v>1993</v>
      </c>
      <c r="B34" s="1">
        <v>23.9</v>
      </c>
      <c r="C34" s="1">
        <v>27.2</v>
      </c>
      <c r="D34" s="1">
        <v>101.1</v>
      </c>
      <c r="E34" s="1">
        <v>40.700000000000003</v>
      </c>
      <c r="F34" s="1">
        <v>40.5</v>
      </c>
      <c r="G34" s="1">
        <v>92.7</v>
      </c>
      <c r="H34" s="1">
        <v>77</v>
      </c>
      <c r="I34" s="1">
        <v>88.6</v>
      </c>
      <c r="J34" s="1">
        <v>122.1</v>
      </c>
      <c r="K34" s="1">
        <v>69.3</v>
      </c>
      <c r="L34" s="1">
        <v>138</v>
      </c>
      <c r="M34" s="1">
        <v>95.8</v>
      </c>
      <c r="N34" s="1">
        <v>916.9</v>
      </c>
      <c r="O34">
        <f t="shared" si="0"/>
        <v>249.5</v>
      </c>
      <c r="P34">
        <f t="shared" si="1"/>
        <v>182.3</v>
      </c>
      <c r="Q34">
        <f t="shared" si="2"/>
        <v>258.29999999999995</v>
      </c>
      <c r="R34">
        <f t="shared" si="3"/>
        <v>329.4</v>
      </c>
    </row>
    <row r="35" spans="1:18" x14ac:dyDescent="0.2">
      <c r="A35" s="1">
        <v>1994</v>
      </c>
      <c r="B35" s="1">
        <v>90.3</v>
      </c>
      <c r="C35" s="1">
        <v>63.4</v>
      </c>
      <c r="D35" s="1">
        <v>66.5</v>
      </c>
      <c r="E35" s="1">
        <v>75</v>
      </c>
      <c r="F35" s="1">
        <v>69.400000000000006</v>
      </c>
      <c r="G35" s="1">
        <v>164.5</v>
      </c>
      <c r="H35" s="1">
        <v>85.4</v>
      </c>
      <c r="I35" s="1">
        <v>79</v>
      </c>
      <c r="J35" s="1">
        <v>106.7</v>
      </c>
      <c r="K35" s="1">
        <v>100</v>
      </c>
      <c r="L35" s="1">
        <v>22</v>
      </c>
      <c r="M35" s="1">
        <v>42.6</v>
      </c>
      <c r="N35" s="1">
        <v>964.8</v>
      </c>
      <c r="O35">
        <f t="shared" si="0"/>
        <v>257.89999999999998</v>
      </c>
      <c r="P35">
        <f t="shared" si="1"/>
        <v>210.9</v>
      </c>
      <c r="Q35">
        <f t="shared" si="2"/>
        <v>328.9</v>
      </c>
      <c r="R35">
        <f t="shared" si="3"/>
        <v>228.7</v>
      </c>
    </row>
    <row r="36" spans="1:18" x14ac:dyDescent="0.2">
      <c r="A36" s="1">
        <v>1995</v>
      </c>
      <c r="B36" s="1">
        <v>139.5</v>
      </c>
      <c r="C36" s="1">
        <v>75.8</v>
      </c>
      <c r="D36" s="1">
        <v>92.4</v>
      </c>
      <c r="E36" s="1">
        <v>48.5</v>
      </c>
      <c r="F36" s="1">
        <v>84.7</v>
      </c>
      <c r="G36" s="1">
        <v>126.6</v>
      </c>
      <c r="H36" s="1">
        <v>60.2</v>
      </c>
      <c r="I36" s="1">
        <v>156.19999999999999</v>
      </c>
      <c r="J36" s="1">
        <v>140.5</v>
      </c>
      <c r="K36" s="1">
        <v>79.849999999999994</v>
      </c>
      <c r="L36" s="1">
        <v>110.7</v>
      </c>
      <c r="M36" s="1">
        <v>111</v>
      </c>
      <c r="N36" s="1">
        <v>1225.95</v>
      </c>
      <c r="O36">
        <f t="shared" si="0"/>
        <v>286</v>
      </c>
      <c r="P36">
        <f t="shared" si="1"/>
        <v>225.60000000000002</v>
      </c>
      <c r="Q36">
        <f t="shared" si="2"/>
        <v>343</v>
      </c>
      <c r="R36">
        <f t="shared" si="3"/>
        <v>331.05</v>
      </c>
    </row>
    <row r="37" spans="1:18" x14ac:dyDescent="0.2">
      <c r="A37" s="1">
        <v>1996</v>
      </c>
      <c r="B37" s="1">
        <v>103.4</v>
      </c>
      <c r="C37" s="1">
        <v>71.599999999999994</v>
      </c>
      <c r="D37" s="1">
        <v>69</v>
      </c>
      <c r="E37" s="1">
        <v>72.3</v>
      </c>
      <c r="F37" s="1">
        <v>134.9</v>
      </c>
      <c r="G37" s="1">
        <v>60.5</v>
      </c>
      <c r="H37" s="1">
        <v>30.6</v>
      </c>
      <c r="I37" s="1">
        <v>104</v>
      </c>
      <c r="J37" s="1">
        <v>174.3</v>
      </c>
      <c r="K37" s="1">
        <v>59.7</v>
      </c>
      <c r="L37" s="1">
        <v>128.80000000000001</v>
      </c>
      <c r="M37" s="1">
        <v>78.900000000000006</v>
      </c>
      <c r="N37" s="1">
        <v>1088.0000000000002</v>
      </c>
      <c r="O37">
        <f t="shared" si="0"/>
        <v>213.6</v>
      </c>
      <c r="P37">
        <f t="shared" si="1"/>
        <v>276.20000000000005</v>
      </c>
      <c r="Q37">
        <f t="shared" si="2"/>
        <v>195.1</v>
      </c>
      <c r="R37">
        <f t="shared" si="3"/>
        <v>362.8</v>
      </c>
    </row>
    <row r="38" spans="1:18" x14ac:dyDescent="0.2">
      <c r="A38" s="1">
        <v>1997</v>
      </c>
      <c r="B38" s="1">
        <v>67.3</v>
      </c>
      <c r="C38" s="1">
        <v>67.400000000000006</v>
      </c>
      <c r="D38" s="1">
        <v>38.799999999999997</v>
      </c>
      <c r="E38" s="1">
        <v>90.5</v>
      </c>
      <c r="F38" s="1">
        <v>65.400000000000006</v>
      </c>
      <c r="G38" s="1">
        <v>72.7</v>
      </c>
      <c r="H38" s="1">
        <v>120.6</v>
      </c>
      <c r="I38" s="1">
        <v>99.9</v>
      </c>
      <c r="J38" s="1">
        <v>39.5</v>
      </c>
      <c r="K38" s="1">
        <v>132</v>
      </c>
      <c r="L38" s="1">
        <v>85.8</v>
      </c>
      <c r="M38" s="1">
        <v>119.2</v>
      </c>
      <c r="N38" s="1">
        <v>999.1</v>
      </c>
      <c r="O38">
        <f t="shared" si="0"/>
        <v>256.3</v>
      </c>
      <c r="P38">
        <f t="shared" si="1"/>
        <v>194.70000000000002</v>
      </c>
      <c r="Q38">
        <f t="shared" si="2"/>
        <v>293.20000000000005</v>
      </c>
      <c r="R38">
        <f t="shared" si="3"/>
        <v>257.3</v>
      </c>
    </row>
    <row r="39" spans="1:18" x14ac:dyDescent="0.2">
      <c r="A39" s="1">
        <v>1998</v>
      </c>
      <c r="B39" s="1">
        <v>126.8</v>
      </c>
      <c r="C39" s="1">
        <v>10.3</v>
      </c>
      <c r="D39" s="1">
        <v>34.299999999999997</v>
      </c>
      <c r="E39" s="1">
        <v>45.2</v>
      </c>
      <c r="F39" s="1">
        <v>83.8</v>
      </c>
      <c r="G39" s="1">
        <v>109.5</v>
      </c>
      <c r="H39" s="1">
        <v>106.4</v>
      </c>
      <c r="I39" s="1">
        <v>54.1</v>
      </c>
      <c r="J39" s="1">
        <v>130.4</v>
      </c>
      <c r="K39" s="1">
        <v>94.1</v>
      </c>
      <c r="L39" s="1">
        <v>106.6</v>
      </c>
      <c r="M39" s="1">
        <v>69.599999999999994</v>
      </c>
      <c r="N39" s="1">
        <v>971.1</v>
      </c>
      <c r="O39">
        <f t="shared" si="0"/>
        <v>235.6</v>
      </c>
      <c r="P39">
        <f t="shared" si="1"/>
        <v>163.30000000000001</v>
      </c>
      <c r="Q39">
        <f t="shared" si="2"/>
        <v>270</v>
      </c>
      <c r="R39">
        <f t="shared" si="3"/>
        <v>331.1</v>
      </c>
    </row>
    <row r="40" spans="1:18" x14ac:dyDescent="0.2">
      <c r="A40" s="1">
        <v>1999</v>
      </c>
      <c r="B40" s="1">
        <v>67.400000000000006</v>
      </c>
      <c r="C40" s="1">
        <v>98.6</v>
      </c>
      <c r="D40" s="1">
        <v>32.9</v>
      </c>
      <c r="E40" s="1">
        <v>97.5</v>
      </c>
      <c r="F40" s="1">
        <v>67.900000000000006</v>
      </c>
      <c r="G40" s="1">
        <v>81.900000000000006</v>
      </c>
      <c r="H40" s="1">
        <v>88.9</v>
      </c>
      <c r="I40" s="1">
        <v>21.9</v>
      </c>
      <c r="J40" s="1">
        <v>116.5</v>
      </c>
      <c r="K40" s="1">
        <v>70.8</v>
      </c>
      <c r="L40" s="1">
        <v>113.4</v>
      </c>
      <c r="M40" s="1">
        <v>164.5</v>
      </c>
      <c r="N40" s="1">
        <v>1022.8</v>
      </c>
      <c r="O40">
        <f t="shared" si="0"/>
        <v>240.7</v>
      </c>
      <c r="P40">
        <f t="shared" si="1"/>
        <v>198.3</v>
      </c>
      <c r="Q40">
        <f t="shared" si="2"/>
        <v>192.70000000000002</v>
      </c>
      <c r="R40">
        <f t="shared" si="3"/>
        <v>300.70000000000005</v>
      </c>
    </row>
    <row r="41" spans="1:18" x14ac:dyDescent="0.2">
      <c r="A41" s="1">
        <v>2000</v>
      </c>
      <c r="B41" s="1">
        <v>32.700000000000003</v>
      </c>
      <c r="C41" s="1">
        <v>43.5</v>
      </c>
      <c r="D41" s="1">
        <v>70.599999999999994</v>
      </c>
      <c r="E41" s="1">
        <v>39.4</v>
      </c>
      <c r="F41" s="1">
        <v>68.2</v>
      </c>
      <c r="G41" s="1">
        <v>69.3</v>
      </c>
      <c r="H41" s="1">
        <v>78.8</v>
      </c>
      <c r="I41" s="1">
        <v>0.2</v>
      </c>
      <c r="J41" s="1">
        <v>70.400000000000006</v>
      </c>
      <c r="K41" s="1">
        <v>32.5</v>
      </c>
      <c r="L41" s="1">
        <v>62.3</v>
      </c>
      <c r="M41" s="1">
        <v>59.4</v>
      </c>
      <c r="N41" s="1">
        <v>627.29999999999995</v>
      </c>
      <c r="O41">
        <f t="shared" si="0"/>
        <v>216.5</v>
      </c>
      <c r="P41">
        <f t="shared" si="1"/>
        <v>178.2</v>
      </c>
      <c r="Q41">
        <f t="shared" si="2"/>
        <v>148.29999999999998</v>
      </c>
      <c r="R41">
        <f t="shared" si="3"/>
        <v>165.2</v>
      </c>
    </row>
    <row r="42" spans="1:18" x14ac:dyDescent="0.2">
      <c r="A42" s="1">
        <v>2001</v>
      </c>
      <c r="B42" s="1">
        <v>97.9</v>
      </c>
      <c r="C42" s="1">
        <v>59.2</v>
      </c>
      <c r="D42" s="1">
        <v>76.5</v>
      </c>
      <c r="E42" s="1">
        <v>99.5</v>
      </c>
      <c r="F42" s="1">
        <v>104.1</v>
      </c>
      <c r="G42" s="1">
        <v>278.8</v>
      </c>
      <c r="H42" s="1">
        <v>122.4</v>
      </c>
      <c r="I42" s="1">
        <v>33.200000000000003</v>
      </c>
      <c r="J42" s="1">
        <v>326.10000000000002</v>
      </c>
      <c r="K42" s="1">
        <v>20.3</v>
      </c>
      <c r="L42" s="1">
        <v>148.30000000000001</v>
      </c>
      <c r="M42" s="1">
        <v>60.4</v>
      </c>
      <c r="N42" s="1">
        <v>1426.7</v>
      </c>
      <c r="O42">
        <f t="shared" si="0"/>
        <v>159</v>
      </c>
      <c r="P42">
        <f t="shared" si="1"/>
        <v>280.10000000000002</v>
      </c>
      <c r="Q42">
        <f t="shared" si="2"/>
        <v>434.40000000000003</v>
      </c>
      <c r="R42">
        <f t="shared" si="3"/>
        <v>494.70000000000005</v>
      </c>
    </row>
    <row r="43" spans="1:18" x14ac:dyDescent="0.2">
      <c r="A43" s="1">
        <v>2002</v>
      </c>
      <c r="B43" s="1">
        <v>28.7</v>
      </c>
      <c r="C43" s="1">
        <v>69.900000000000006</v>
      </c>
      <c r="D43" s="1">
        <v>43.1</v>
      </c>
      <c r="E43" s="1">
        <v>114.7</v>
      </c>
      <c r="F43" s="1">
        <v>193.9</v>
      </c>
      <c r="G43" s="1">
        <v>59.8</v>
      </c>
      <c r="H43" s="1">
        <v>54.1</v>
      </c>
      <c r="I43" s="1">
        <v>160.80000000000001</v>
      </c>
      <c r="J43" s="1">
        <v>87.4</v>
      </c>
      <c r="K43" s="1">
        <v>117.2</v>
      </c>
      <c r="L43" s="1">
        <v>68.900000000000006</v>
      </c>
      <c r="M43" s="1">
        <v>59.5</v>
      </c>
      <c r="N43" s="1">
        <v>1058</v>
      </c>
      <c r="O43">
        <f t="shared" si="0"/>
        <v>161.80000000000001</v>
      </c>
      <c r="P43">
        <f t="shared" si="1"/>
        <v>351.70000000000005</v>
      </c>
      <c r="Q43">
        <f t="shared" si="2"/>
        <v>274.70000000000005</v>
      </c>
      <c r="R43">
        <f t="shared" si="3"/>
        <v>273.5</v>
      </c>
    </row>
    <row r="44" spans="1:18" x14ac:dyDescent="0.2">
      <c r="A44" s="1">
        <v>2003</v>
      </c>
      <c r="B44" s="1">
        <v>68.2</v>
      </c>
      <c r="C44" s="1">
        <v>34.1</v>
      </c>
      <c r="D44" s="1">
        <v>18.3</v>
      </c>
      <c r="E44" s="1">
        <v>35.9</v>
      </c>
      <c r="F44" s="1">
        <v>42.6</v>
      </c>
      <c r="G44" s="1">
        <v>65.599999999999994</v>
      </c>
      <c r="H44" s="1">
        <v>100.9</v>
      </c>
      <c r="I44" s="1">
        <v>30</v>
      </c>
      <c r="J44" s="1">
        <v>53.4</v>
      </c>
      <c r="K44" s="1">
        <v>187</v>
      </c>
      <c r="L44" s="1">
        <v>34.700000000000003</v>
      </c>
      <c r="M44" s="1">
        <v>44.9</v>
      </c>
      <c r="N44" s="1">
        <v>715.6</v>
      </c>
      <c r="O44">
        <f t="shared" si="0"/>
        <v>194.5</v>
      </c>
      <c r="P44">
        <f t="shared" si="1"/>
        <v>96.800000000000011</v>
      </c>
      <c r="Q44">
        <f t="shared" si="2"/>
        <v>196.5</v>
      </c>
      <c r="R44">
        <f t="shared" si="3"/>
        <v>275.10000000000002</v>
      </c>
    </row>
    <row r="45" spans="1:18" x14ac:dyDescent="0.2">
      <c r="A45" s="1">
        <v>2004</v>
      </c>
      <c r="B45" s="1">
        <v>67.5</v>
      </c>
      <c r="C45" s="1">
        <v>82.1</v>
      </c>
      <c r="D45" s="1">
        <v>35.4</v>
      </c>
      <c r="E45" s="1">
        <v>189.9</v>
      </c>
      <c r="F45" s="1">
        <v>104.8</v>
      </c>
      <c r="G45" s="1">
        <v>129.5</v>
      </c>
      <c r="H45" s="1">
        <v>148.6</v>
      </c>
      <c r="I45" s="1">
        <v>68.7</v>
      </c>
      <c r="J45" s="1">
        <v>60.5</v>
      </c>
      <c r="K45" s="1">
        <v>64.2</v>
      </c>
      <c r="L45" s="1">
        <v>143.30000000000001</v>
      </c>
      <c r="M45" s="1">
        <v>53.1</v>
      </c>
      <c r="N45" s="1">
        <v>1147.5999999999999</v>
      </c>
      <c r="O45">
        <f t="shared" si="0"/>
        <v>196.5</v>
      </c>
      <c r="P45">
        <f t="shared" si="1"/>
        <v>330.1</v>
      </c>
      <c r="Q45">
        <f t="shared" si="2"/>
        <v>346.8</v>
      </c>
      <c r="R45">
        <f t="shared" si="3"/>
        <v>268</v>
      </c>
    </row>
    <row r="46" spans="1:18" x14ac:dyDescent="0.2">
      <c r="A46" s="1">
        <v>2005</v>
      </c>
      <c r="B46" s="1">
        <v>53.6</v>
      </c>
      <c r="C46" s="1">
        <v>89.8</v>
      </c>
      <c r="D46" s="1">
        <v>85.8</v>
      </c>
      <c r="E46" s="1">
        <v>85.3</v>
      </c>
      <c r="F46" s="1">
        <v>79.900000000000006</v>
      </c>
      <c r="G46" s="1">
        <v>137.19999999999999</v>
      </c>
      <c r="H46" s="1">
        <v>239.6</v>
      </c>
      <c r="I46" s="1">
        <v>143.5</v>
      </c>
      <c r="J46" s="1">
        <v>67.3</v>
      </c>
      <c r="K46" s="1">
        <v>13.7</v>
      </c>
      <c r="L46" s="1">
        <v>35.5</v>
      </c>
      <c r="M46" s="1">
        <v>131.6</v>
      </c>
      <c r="N46" s="1">
        <v>1162.7999999999997</v>
      </c>
      <c r="O46">
        <f t="shared" si="0"/>
        <v>221.8</v>
      </c>
      <c r="P46">
        <f t="shared" si="1"/>
        <v>251</v>
      </c>
      <c r="Q46">
        <f t="shared" si="2"/>
        <v>520.29999999999995</v>
      </c>
      <c r="R46">
        <f t="shared" si="3"/>
        <v>116.5</v>
      </c>
    </row>
    <row r="47" spans="1:18" x14ac:dyDescent="0.2">
      <c r="A47" s="1">
        <v>2006</v>
      </c>
      <c r="B47" s="1">
        <v>43.9</v>
      </c>
      <c r="C47" s="1">
        <v>46.3</v>
      </c>
      <c r="D47" s="1">
        <v>108.3</v>
      </c>
      <c r="E47" s="1">
        <v>152.4</v>
      </c>
      <c r="F47" s="1">
        <v>81.599999999999994</v>
      </c>
      <c r="G47" s="1">
        <v>112.8</v>
      </c>
      <c r="H47" s="1">
        <v>47</v>
      </c>
      <c r="I47" s="1">
        <v>151.5</v>
      </c>
      <c r="J47" s="1">
        <v>27</v>
      </c>
      <c r="K47" s="1">
        <v>8.4</v>
      </c>
      <c r="L47" s="1">
        <v>47.5</v>
      </c>
      <c r="M47" s="1">
        <v>43.9</v>
      </c>
      <c r="N47" s="1">
        <v>870.59999999999991</v>
      </c>
      <c r="O47">
        <f t="shared" si="0"/>
        <v>187.39999999999998</v>
      </c>
      <c r="P47">
        <f t="shared" si="1"/>
        <v>342.29999999999995</v>
      </c>
      <c r="Q47">
        <f t="shared" si="2"/>
        <v>311.3</v>
      </c>
      <c r="R47">
        <f t="shared" si="3"/>
        <v>82.9</v>
      </c>
    </row>
    <row r="48" spans="1:18" x14ac:dyDescent="0.2">
      <c r="A48" s="1">
        <v>2007</v>
      </c>
      <c r="B48" s="1">
        <v>64.2</v>
      </c>
      <c r="C48" s="1">
        <v>79.3</v>
      </c>
      <c r="D48" s="1">
        <v>78.5</v>
      </c>
      <c r="E48" s="1">
        <v>16.100000000000001</v>
      </c>
      <c r="F48" s="1">
        <v>94.7</v>
      </c>
      <c r="G48" s="1">
        <v>86</v>
      </c>
      <c r="H48" s="1">
        <v>51.9</v>
      </c>
      <c r="I48" s="1">
        <v>58.8</v>
      </c>
      <c r="J48" s="1">
        <v>145.4</v>
      </c>
      <c r="K48" s="1">
        <v>128.69999999999999</v>
      </c>
      <c r="L48" s="1">
        <v>120.3</v>
      </c>
      <c r="M48" s="1">
        <v>74.8</v>
      </c>
      <c r="N48" s="1">
        <v>998.69999999999982</v>
      </c>
      <c r="O48">
        <f t="shared" si="0"/>
        <v>130.89999999999998</v>
      </c>
      <c r="P48">
        <f t="shared" si="1"/>
        <v>189.3</v>
      </c>
      <c r="Q48">
        <f t="shared" si="2"/>
        <v>196.7</v>
      </c>
      <c r="R48">
        <f t="shared" si="3"/>
        <v>394.40000000000003</v>
      </c>
    </row>
    <row r="49" spans="1:18" x14ac:dyDescent="0.2">
      <c r="A49" s="1">
        <v>2008</v>
      </c>
      <c r="B49" s="1">
        <v>41.4</v>
      </c>
      <c r="C49" s="1">
        <v>14.7</v>
      </c>
      <c r="D49" s="1">
        <v>86.5</v>
      </c>
      <c r="E49" s="1">
        <v>66</v>
      </c>
      <c r="F49" s="1">
        <v>98.1</v>
      </c>
      <c r="G49" s="1">
        <v>64.599999999999994</v>
      </c>
      <c r="H49" s="1">
        <v>104.7</v>
      </c>
      <c r="I49" s="1">
        <v>12.4</v>
      </c>
      <c r="J49" s="1">
        <v>107.3</v>
      </c>
      <c r="K49" s="1">
        <v>43.9</v>
      </c>
      <c r="L49" s="1">
        <v>88.9</v>
      </c>
      <c r="M49" s="1">
        <v>67.7</v>
      </c>
      <c r="N49" s="1">
        <v>796.19999999999993</v>
      </c>
      <c r="O49">
        <f t="shared" si="0"/>
        <v>190.89999999999998</v>
      </c>
      <c r="P49">
        <f t="shared" si="1"/>
        <v>250.6</v>
      </c>
      <c r="Q49">
        <f t="shared" si="2"/>
        <v>181.70000000000002</v>
      </c>
      <c r="R49">
        <f t="shared" si="3"/>
        <v>240.1</v>
      </c>
    </row>
    <row r="50" spans="1:18" x14ac:dyDescent="0.2">
      <c r="A50" s="1">
        <v>2009</v>
      </c>
      <c r="B50" s="1">
        <v>75.5</v>
      </c>
      <c r="C50" s="1">
        <v>47.7</v>
      </c>
      <c r="D50" s="1">
        <v>102.1</v>
      </c>
      <c r="E50" s="1">
        <v>25.2</v>
      </c>
      <c r="F50" s="1">
        <v>44.3</v>
      </c>
      <c r="G50" s="1">
        <v>120.7</v>
      </c>
      <c r="H50" s="1">
        <v>76.400000000000006</v>
      </c>
      <c r="I50" s="1">
        <v>120.7</v>
      </c>
      <c r="J50" s="1">
        <v>12</v>
      </c>
      <c r="K50" s="1">
        <v>99.6</v>
      </c>
      <c r="L50" s="1">
        <v>61.3</v>
      </c>
      <c r="M50" s="1">
        <v>160.6</v>
      </c>
      <c r="N50" s="1">
        <v>946.1</v>
      </c>
      <c r="O50">
        <f t="shared" si="0"/>
        <v>365.49999999999994</v>
      </c>
      <c r="P50">
        <f t="shared" si="1"/>
        <v>171.6</v>
      </c>
      <c r="Q50">
        <f t="shared" si="2"/>
        <v>317.8</v>
      </c>
      <c r="R50">
        <f t="shared" si="3"/>
        <v>172.89999999999998</v>
      </c>
    </row>
    <row r="51" spans="1:18" x14ac:dyDescent="0.2">
      <c r="A51" s="1">
        <v>2010</v>
      </c>
      <c r="B51" s="1">
        <v>128.69999999999999</v>
      </c>
      <c r="C51" s="1">
        <v>76.2</v>
      </c>
      <c r="D51" s="1">
        <v>81.7</v>
      </c>
      <c r="E51" s="1">
        <v>81.599999999999994</v>
      </c>
      <c r="F51" s="1">
        <v>131.30000000000001</v>
      </c>
      <c r="G51" s="1">
        <v>372.4</v>
      </c>
      <c r="H51" s="1">
        <v>96.1</v>
      </c>
      <c r="I51" s="1">
        <v>58.6</v>
      </c>
      <c r="J51" s="1">
        <v>96.9</v>
      </c>
      <c r="K51" s="1">
        <v>68.599999999999994</v>
      </c>
      <c r="L51" s="1">
        <v>53.6</v>
      </c>
      <c r="M51" s="1">
        <v>87</v>
      </c>
      <c r="N51" s="1">
        <v>1332.6999999999998</v>
      </c>
      <c r="O51">
        <f t="shared" si="0"/>
        <v>173.79999999999998</v>
      </c>
      <c r="P51">
        <f t="shared" si="1"/>
        <v>294.60000000000002</v>
      </c>
      <c r="Q51">
        <f t="shared" si="2"/>
        <v>527.1</v>
      </c>
      <c r="R51">
        <f t="shared" si="3"/>
        <v>219.1</v>
      </c>
    </row>
    <row r="52" spans="1:18" x14ac:dyDescent="0.2">
      <c r="A52" s="1">
        <v>2011</v>
      </c>
      <c r="B52" s="1">
        <v>49.7</v>
      </c>
      <c r="C52" s="1">
        <v>37.1</v>
      </c>
      <c r="D52" s="1">
        <v>27.1</v>
      </c>
      <c r="E52" s="1">
        <v>32.5</v>
      </c>
      <c r="F52" s="1">
        <v>81.2</v>
      </c>
      <c r="G52" s="1">
        <v>63.5</v>
      </c>
      <c r="H52" s="1">
        <v>60.5</v>
      </c>
      <c r="I52" s="1">
        <v>11.2</v>
      </c>
      <c r="J52" s="1">
        <v>14.1</v>
      </c>
      <c r="K52" s="1">
        <v>38.799999999999997</v>
      </c>
      <c r="L52" s="1">
        <v>15</v>
      </c>
      <c r="M52" s="1">
        <v>73.400000000000006</v>
      </c>
      <c r="N52" s="1">
        <v>504.1</v>
      </c>
      <c r="O52">
        <f t="shared" si="0"/>
        <v>217.2</v>
      </c>
      <c r="P52">
        <f t="shared" si="1"/>
        <v>140.80000000000001</v>
      </c>
      <c r="Q52">
        <f t="shared" si="2"/>
        <v>135.19999999999999</v>
      </c>
      <c r="R52">
        <f t="shared" si="3"/>
        <v>67.900000000000006</v>
      </c>
    </row>
    <row r="53" spans="1:18" x14ac:dyDescent="0.2">
      <c r="A53" s="1">
        <v>2012</v>
      </c>
      <c r="B53" s="1">
        <v>77.5</v>
      </c>
      <c r="C53" s="1">
        <v>66.3</v>
      </c>
      <c r="D53" s="1">
        <v>8.8000000000000007</v>
      </c>
      <c r="E53" s="1">
        <v>99.9</v>
      </c>
      <c r="F53" s="1">
        <v>147.19999999999999</v>
      </c>
      <c r="G53" s="1">
        <v>44</v>
      </c>
      <c r="H53" s="1">
        <v>52.6</v>
      </c>
      <c r="I53" s="1">
        <v>7</v>
      </c>
      <c r="J53" s="1">
        <v>57.3</v>
      </c>
      <c r="K53" s="1">
        <v>99.1</v>
      </c>
      <c r="L53" s="1">
        <v>40.5</v>
      </c>
      <c r="M53" s="1">
        <v>114.1</v>
      </c>
      <c r="N53" s="1">
        <v>814.30000000000007</v>
      </c>
      <c r="O53">
        <f t="shared" si="0"/>
        <v>289.89999999999998</v>
      </c>
      <c r="P53">
        <f t="shared" si="1"/>
        <v>255.89999999999998</v>
      </c>
      <c r="Q53">
        <f t="shared" si="2"/>
        <v>103.6</v>
      </c>
      <c r="R53">
        <f t="shared" si="3"/>
        <v>196.89999999999998</v>
      </c>
    </row>
    <row r="54" spans="1:18" x14ac:dyDescent="0.2">
      <c r="A54" s="1">
        <v>2013</v>
      </c>
      <c r="B54" s="1">
        <v>59.6</v>
      </c>
      <c r="C54" s="1">
        <v>116.2</v>
      </c>
      <c r="D54" s="1">
        <v>104.4</v>
      </c>
      <c r="E54" s="1">
        <v>38.9</v>
      </c>
      <c r="F54" s="1">
        <v>144.19999999999999</v>
      </c>
      <c r="G54" s="1">
        <v>48.4</v>
      </c>
      <c r="H54" s="1">
        <v>76.7</v>
      </c>
      <c r="I54" s="1">
        <v>44.2</v>
      </c>
      <c r="J54" s="1">
        <v>47.8</v>
      </c>
      <c r="K54" s="1">
        <v>65.900000000000006</v>
      </c>
      <c r="L54" s="1">
        <v>116.6</v>
      </c>
      <c r="M54" s="1">
        <v>2</v>
      </c>
      <c r="N54" s="1">
        <v>864.9</v>
      </c>
      <c r="O54">
        <f t="shared" si="0"/>
        <v>96.5</v>
      </c>
      <c r="P54">
        <f t="shared" si="1"/>
        <v>287.5</v>
      </c>
      <c r="Q54">
        <f t="shared" si="2"/>
        <v>169.3</v>
      </c>
      <c r="R54">
        <f t="shared" si="3"/>
        <v>230.3</v>
      </c>
    </row>
    <row r="55" spans="1:18" x14ac:dyDescent="0.2">
      <c r="A55" s="1">
        <v>2014</v>
      </c>
      <c r="B55" s="1">
        <v>36.5</v>
      </c>
      <c r="C55" s="1">
        <v>58</v>
      </c>
      <c r="D55" s="1">
        <v>58.5</v>
      </c>
      <c r="E55" s="1">
        <v>177.4</v>
      </c>
      <c r="F55" s="1">
        <v>270.39999999999998</v>
      </c>
      <c r="G55" s="1">
        <v>88.2</v>
      </c>
      <c r="H55" s="1">
        <v>146.6</v>
      </c>
      <c r="I55" s="1">
        <v>287.89999999999998</v>
      </c>
      <c r="J55" s="1">
        <v>144.69999999999999</v>
      </c>
      <c r="K55" s="1">
        <v>99</v>
      </c>
      <c r="L55" s="1">
        <v>31.2</v>
      </c>
      <c r="M55" s="1">
        <v>96.1</v>
      </c>
      <c r="N55" s="1">
        <v>1494.5</v>
      </c>
      <c r="O55">
        <f t="shared" si="0"/>
        <v>298.10000000000002</v>
      </c>
      <c r="P55">
        <f t="shared" si="1"/>
        <v>506.29999999999995</v>
      </c>
      <c r="Q55">
        <f t="shared" si="2"/>
        <v>522.70000000000005</v>
      </c>
      <c r="R55">
        <f t="shared" si="3"/>
        <v>274.89999999999998</v>
      </c>
    </row>
    <row r="56" spans="1:18" x14ac:dyDescent="0.2">
      <c r="A56" s="1">
        <v>2015</v>
      </c>
      <c r="B56" s="1">
        <v>86.7</v>
      </c>
      <c r="C56" s="1">
        <v>115.3</v>
      </c>
      <c r="D56" s="1">
        <v>97.1</v>
      </c>
      <c r="E56" s="1">
        <v>60.1</v>
      </c>
      <c r="F56" s="1">
        <v>148.69999999999999</v>
      </c>
      <c r="G56" s="1">
        <v>53.4</v>
      </c>
      <c r="H56" s="1">
        <v>2.8</v>
      </c>
      <c r="I56" s="1">
        <v>43.4</v>
      </c>
      <c r="J56" s="1">
        <v>85.3</v>
      </c>
      <c r="K56" s="1">
        <v>124.7</v>
      </c>
      <c r="L56" s="1">
        <v>81.3</v>
      </c>
      <c r="M56" s="1">
        <v>7.4</v>
      </c>
      <c r="N56" s="1">
        <v>906.19999999999993</v>
      </c>
      <c r="O56">
        <f t="shared" si="0"/>
        <v>193.8</v>
      </c>
      <c r="P56">
        <f t="shared" si="1"/>
        <v>305.89999999999998</v>
      </c>
      <c r="Q56">
        <f t="shared" si="2"/>
        <v>99.6</v>
      </c>
      <c r="R56">
        <f t="shared" si="3"/>
        <v>291.3</v>
      </c>
    </row>
    <row r="57" spans="1:18" x14ac:dyDescent="0.2">
      <c r="A57" s="1">
        <v>2016</v>
      </c>
      <c r="B57" s="1">
        <v>89.5</v>
      </c>
      <c r="C57" s="1">
        <v>96.9</v>
      </c>
      <c r="D57" s="1">
        <v>116.9</v>
      </c>
      <c r="E57" s="1">
        <v>78</v>
      </c>
      <c r="F57" s="1">
        <v>86.5</v>
      </c>
      <c r="G57" s="1">
        <v>47.5</v>
      </c>
      <c r="H57" s="1">
        <v>154.4</v>
      </c>
      <c r="I57" s="1">
        <v>82.8</v>
      </c>
      <c r="J57" s="1">
        <v>69.3</v>
      </c>
      <c r="K57" s="1">
        <v>62.3</v>
      </c>
      <c r="L57" s="1">
        <v>70.5</v>
      </c>
      <c r="M57" s="1">
        <v>5.2</v>
      </c>
      <c r="N57" s="1">
        <f>SUM(B57:M57)</f>
        <v>959.79999999999984</v>
      </c>
      <c r="O57">
        <f t="shared" si="0"/>
        <v>144</v>
      </c>
      <c r="P57">
        <f t="shared" si="1"/>
        <v>281.39999999999998</v>
      </c>
      <c r="Q57">
        <f t="shared" si="2"/>
        <v>284.7</v>
      </c>
      <c r="R57">
        <f t="shared" si="3"/>
        <v>202.1</v>
      </c>
    </row>
    <row r="58" spans="1:18" x14ac:dyDescent="0.2">
      <c r="A58" s="1">
        <v>2017</v>
      </c>
      <c r="B58" s="1">
        <v>65</v>
      </c>
      <c r="C58" s="1">
        <v>73.8</v>
      </c>
      <c r="D58" s="1">
        <v>88.1</v>
      </c>
      <c r="E58" s="1">
        <v>151.80000000000001</v>
      </c>
      <c r="F58" s="1">
        <v>107.6</v>
      </c>
      <c r="G58" s="1">
        <v>29.2</v>
      </c>
      <c r="H58" s="1">
        <v>82.1</v>
      </c>
      <c r="I58" s="1">
        <v>31.8</v>
      </c>
      <c r="J58" s="1">
        <v>90.2</v>
      </c>
      <c r="K58" s="1">
        <v>97.1</v>
      </c>
      <c r="L58" s="1">
        <v>81.7</v>
      </c>
      <c r="M58" s="1">
        <v>96.2</v>
      </c>
      <c r="N58" s="1">
        <v>994.6</v>
      </c>
      <c r="O58">
        <f t="shared" si="0"/>
        <v>259.20000000000005</v>
      </c>
      <c r="P58">
        <f t="shared" si="1"/>
        <v>347.5</v>
      </c>
      <c r="Q58">
        <f t="shared" si="2"/>
        <v>143.1</v>
      </c>
      <c r="R58">
        <f t="shared" si="3"/>
        <v>269</v>
      </c>
    </row>
    <row r="59" spans="1:18" x14ac:dyDescent="0.2">
      <c r="A59" s="1">
        <v>2018</v>
      </c>
      <c r="B59" s="1">
        <v>77.400000000000006</v>
      </c>
      <c r="C59" s="1">
        <v>85.6</v>
      </c>
      <c r="D59" s="1">
        <v>85.5</v>
      </c>
      <c r="E59" s="1">
        <v>41.2</v>
      </c>
      <c r="F59" s="1">
        <v>250</v>
      </c>
      <c r="G59" s="1">
        <v>206</v>
      </c>
      <c r="H59" s="1">
        <v>116</v>
      </c>
      <c r="I59" s="1">
        <v>65</v>
      </c>
      <c r="J59" s="1">
        <v>39.5</v>
      </c>
      <c r="K59" s="1">
        <v>18.899999999999999</v>
      </c>
      <c r="L59" s="1">
        <v>52.9</v>
      </c>
      <c r="M59" s="1">
        <v>86</v>
      </c>
      <c r="N59" s="1">
        <f>SUM(B59:M59)</f>
        <v>1124</v>
      </c>
      <c r="O59">
        <f t="shared" si="0"/>
        <v>217.6</v>
      </c>
      <c r="P59">
        <f t="shared" si="1"/>
        <v>376.7</v>
      </c>
      <c r="Q59">
        <f t="shared" si="2"/>
        <v>387</v>
      </c>
      <c r="R59">
        <f t="shared" si="3"/>
        <v>111.3</v>
      </c>
    </row>
    <row r="60" spans="1:18" x14ac:dyDescent="0.2">
      <c r="A60" s="1">
        <v>2019</v>
      </c>
      <c r="B60" s="1">
        <v>78.599999999999994</v>
      </c>
      <c r="C60" s="1">
        <v>53</v>
      </c>
      <c r="D60" s="1">
        <v>55.9</v>
      </c>
      <c r="E60" s="1">
        <v>118</v>
      </c>
      <c r="F60" s="1">
        <v>151</v>
      </c>
      <c r="G60" s="1">
        <v>158</v>
      </c>
      <c r="H60" s="1">
        <v>69.099999999999994</v>
      </c>
      <c r="I60" s="1">
        <v>49.7</v>
      </c>
      <c r="J60" s="1">
        <v>51.9</v>
      </c>
      <c r="K60" s="1">
        <v>32.5</v>
      </c>
      <c r="L60" s="1">
        <v>55</v>
      </c>
      <c r="M60" s="1">
        <v>71.3</v>
      </c>
      <c r="N60" s="1">
        <f t="shared" ref="N60:N61" si="4">SUM(B60:M60)</f>
        <v>944</v>
      </c>
      <c r="O60">
        <f t="shared" si="0"/>
        <v>169.3</v>
      </c>
      <c r="P60">
        <f t="shared" si="1"/>
        <v>324.89999999999998</v>
      </c>
      <c r="Q60">
        <f t="shared" si="2"/>
        <v>276.8</v>
      </c>
      <c r="R60">
        <f t="shared" si="3"/>
        <v>139.4</v>
      </c>
    </row>
    <row r="61" spans="1:18" x14ac:dyDescent="0.2">
      <c r="A61" s="1">
        <v>2020</v>
      </c>
      <c r="B61" s="1">
        <v>40</v>
      </c>
      <c r="C61" s="1">
        <v>58</v>
      </c>
      <c r="D61" s="1">
        <v>51.9</v>
      </c>
      <c r="E61" s="1">
        <v>36.5</v>
      </c>
      <c r="F61" s="1">
        <v>129</v>
      </c>
      <c r="G61" s="1">
        <v>82</v>
      </c>
      <c r="H61" s="1">
        <v>66.400000000000006</v>
      </c>
      <c r="I61" s="1">
        <v>89.3</v>
      </c>
      <c r="J61" s="1">
        <v>36.1</v>
      </c>
      <c r="K61" s="1">
        <v>99</v>
      </c>
      <c r="L61" s="1">
        <v>33</v>
      </c>
      <c r="M61" s="1">
        <v>82</v>
      </c>
      <c r="N61" s="1">
        <f t="shared" si="4"/>
        <v>803.19999999999993</v>
      </c>
      <c r="P61">
        <f t="shared" si="1"/>
        <v>217.4</v>
      </c>
      <c r="Q61">
        <f t="shared" si="2"/>
        <v>237.7</v>
      </c>
      <c r="R61">
        <f t="shared" si="3"/>
        <v>168.1</v>
      </c>
    </row>
    <row r="62" spans="1:18" x14ac:dyDescent="0.2">
      <c r="N62" s="22">
        <f>AVERAGE(N2:N61)</f>
        <v>931.80416666666656</v>
      </c>
      <c r="O62" s="21">
        <f>AVERAGE(O2:O61)</f>
        <v>197.99152542372877</v>
      </c>
      <c r="P62" s="21">
        <f t="shared" ref="P62:R62" si="5">AVERAGE(P2:P61)</f>
        <v>237.48333333333326</v>
      </c>
      <c r="Q62" s="21">
        <f t="shared" si="5"/>
        <v>273.25833333333333</v>
      </c>
      <c r="R62" s="21">
        <f t="shared" si="5"/>
        <v>223.84416666666667</v>
      </c>
    </row>
    <row r="65" spans="1:18" x14ac:dyDescent="0.2">
      <c r="A65" s="1" t="s">
        <v>31</v>
      </c>
      <c r="B65" s="1" t="s">
        <v>17</v>
      </c>
      <c r="C65" s="1" t="s">
        <v>18</v>
      </c>
      <c r="D65" s="1" t="s">
        <v>19</v>
      </c>
      <c r="E65" s="1" t="s">
        <v>20</v>
      </c>
      <c r="F65" s="1" t="s">
        <v>21</v>
      </c>
      <c r="G65" s="1" t="s">
        <v>22</v>
      </c>
      <c r="H65" s="1" t="s">
        <v>23</v>
      </c>
      <c r="I65" s="1" t="s">
        <v>24</v>
      </c>
      <c r="J65" s="1" t="s">
        <v>25</v>
      </c>
      <c r="K65" s="1" t="s">
        <v>26</v>
      </c>
      <c r="L65" s="1" t="s">
        <v>27</v>
      </c>
      <c r="M65" s="1" t="s">
        <v>28</v>
      </c>
      <c r="N65" s="1" t="s">
        <v>29</v>
      </c>
      <c r="O65" s="3" t="s">
        <v>13</v>
      </c>
      <c r="P65" s="3" t="s">
        <v>14</v>
      </c>
      <c r="Q65" s="3" t="s">
        <v>15</v>
      </c>
      <c r="R65" s="3" t="s">
        <v>16</v>
      </c>
    </row>
    <row r="66" spans="1:18" x14ac:dyDescent="0.2">
      <c r="A66" s="1">
        <v>1961</v>
      </c>
      <c r="B66" s="1">
        <v>19.899999999999999</v>
      </c>
      <c r="C66" s="1">
        <v>48.8</v>
      </c>
      <c r="D66" s="1">
        <v>20.399999999999999</v>
      </c>
      <c r="E66" s="1">
        <v>65.599999999999994</v>
      </c>
      <c r="F66" s="1">
        <v>223.9</v>
      </c>
      <c r="G66" s="1">
        <v>44.7</v>
      </c>
      <c r="H66" s="1">
        <v>92</v>
      </c>
      <c r="I66" s="1">
        <v>15.4</v>
      </c>
      <c r="J66" s="1">
        <v>21.3</v>
      </c>
      <c r="K66" s="1">
        <v>59</v>
      </c>
      <c r="L66" s="1">
        <v>84</v>
      </c>
      <c r="M66" s="1">
        <v>111.9</v>
      </c>
      <c r="N66" s="1">
        <v>807.4</v>
      </c>
      <c r="O66">
        <f>M66+B67+C67</f>
        <v>270.7</v>
      </c>
      <c r="P66">
        <f>D66+E66+F66</f>
        <v>309.89999999999998</v>
      </c>
      <c r="Q66">
        <f>G66+H66+I66</f>
        <v>152.1</v>
      </c>
      <c r="R66">
        <f>J66+K66+L66</f>
        <v>164.3</v>
      </c>
    </row>
    <row r="67" spans="1:18" x14ac:dyDescent="0.2">
      <c r="A67" s="1">
        <v>1962</v>
      </c>
      <c r="B67" s="1">
        <v>64</v>
      </c>
      <c r="C67" s="1">
        <v>94.8</v>
      </c>
      <c r="D67" s="1">
        <v>134.9</v>
      </c>
      <c r="E67" s="1">
        <v>89.3</v>
      </c>
      <c r="F67" s="1">
        <v>38.799999999999997</v>
      </c>
      <c r="G67" s="1">
        <v>62.4</v>
      </c>
      <c r="H67" s="1">
        <v>46.9</v>
      </c>
      <c r="I67" s="1">
        <v>29</v>
      </c>
      <c r="J67" s="1">
        <v>38.200000000000003</v>
      </c>
      <c r="K67" s="1">
        <v>27.1</v>
      </c>
      <c r="L67" s="1">
        <v>81.400000000000006</v>
      </c>
      <c r="M67" s="1">
        <v>64.900000000000006</v>
      </c>
      <c r="N67" s="1">
        <v>771</v>
      </c>
      <c r="O67">
        <f t="shared" ref="O67:O124" si="6">M67+B68+C68</f>
        <v>191.60000000000002</v>
      </c>
      <c r="P67">
        <f t="shared" ref="P67:P125" si="7">D67+E67+F67</f>
        <v>263</v>
      </c>
      <c r="Q67">
        <f t="shared" ref="Q67:Q125" si="8">G67+H67+I67</f>
        <v>138.30000000000001</v>
      </c>
      <c r="R67">
        <f t="shared" ref="R67:R125" si="9">J67+K67+L67</f>
        <v>146.70000000000002</v>
      </c>
    </row>
    <row r="68" spans="1:18" x14ac:dyDescent="0.2">
      <c r="A68" s="1">
        <v>1963</v>
      </c>
      <c r="B68" s="1">
        <v>72</v>
      </c>
      <c r="C68" s="1">
        <v>54.7</v>
      </c>
      <c r="D68" s="1">
        <v>36.299999999999997</v>
      </c>
      <c r="E68" s="1">
        <v>97.9</v>
      </c>
      <c r="F68" s="1">
        <v>73.3</v>
      </c>
      <c r="G68" s="1">
        <v>99.4</v>
      </c>
      <c r="H68" s="1">
        <v>52</v>
      </c>
      <c r="I68" s="1">
        <v>121.4</v>
      </c>
      <c r="J68" s="1">
        <v>98.4</v>
      </c>
      <c r="K68" s="1">
        <v>9.6</v>
      </c>
      <c r="L68" s="1">
        <v>47.5</v>
      </c>
      <c r="M68" s="1">
        <v>103.7</v>
      </c>
      <c r="N68" s="1">
        <v>866.2</v>
      </c>
      <c r="O68">
        <f t="shared" si="6"/>
        <v>156.80000000000001</v>
      </c>
      <c r="P68">
        <f t="shared" si="7"/>
        <v>207.5</v>
      </c>
      <c r="Q68">
        <f t="shared" si="8"/>
        <v>272.8</v>
      </c>
      <c r="R68">
        <f t="shared" si="9"/>
        <v>155.5</v>
      </c>
    </row>
    <row r="69" spans="1:18" x14ac:dyDescent="0.2">
      <c r="A69" s="1">
        <v>1964</v>
      </c>
      <c r="B69" s="1">
        <v>10.199999999999999</v>
      </c>
      <c r="C69" s="1">
        <v>42.9</v>
      </c>
      <c r="D69" s="1">
        <v>73.099999999999994</v>
      </c>
      <c r="E69" s="1">
        <v>89.6</v>
      </c>
      <c r="F69" s="1">
        <v>97.6</v>
      </c>
      <c r="G69" s="1">
        <v>146.6</v>
      </c>
      <c r="H69" s="1">
        <v>76.3</v>
      </c>
      <c r="I69" s="1">
        <v>62.8</v>
      </c>
      <c r="J69" s="1">
        <v>86.9</v>
      </c>
      <c r="K69" s="1">
        <v>85.4</v>
      </c>
      <c r="L69" s="1">
        <v>94.6</v>
      </c>
      <c r="M69" s="1">
        <v>122.7</v>
      </c>
      <c r="N69" s="1">
        <v>990</v>
      </c>
      <c r="O69">
        <f t="shared" si="6"/>
        <v>240.79999999999998</v>
      </c>
      <c r="P69">
        <f t="shared" si="7"/>
        <v>260.29999999999995</v>
      </c>
      <c r="Q69">
        <f t="shared" si="8"/>
        <v>285.7</v>
      </c>
      <c r="R69">
        <f t="shared" si="9"/>
        <v>266.89999999999998</v>
      </c>
    </row>
    <row r="70" spans="1:18" x14ac:dyDescent="0.2">
      <c r="A70" s="1">
        <v>1965</v>
      </c>
      <c r="B70" s="1">
        <v>42.5</v>
      </c>
      <c r="C70" s="1">
        <v>75.599999999999994</v>
      </c>
      <c r="D70" s="1">
        <v>33.799999999999997</v>
      </c>
      <c r="E70" s="1">
        <v>74.099999999999994</v>
      </c>
      <c r="F70" s="1">
        <v>153.19999999999999</v>
      </c>
      <c r="G70" s="1">
        <v>56.2</v>
      </c>
      <c r="H70" s="1">
        <v>90.3</v>
      </c>
      <c r="I70" s="1">
        <v>59.7</v>
      </c>
      <c r="J70" s="1">
        <v>76.099999999999994</v>
      </c>
      <c r="K70" s="1">
        <v>0.1</v>
      </c>
      <c r="L70" s="1">
        <v>80</v>
      </c>
      <c r="M70" s="1">
        <v>89.4</v>
      </c>
      <c r="N70" s="1">
        <v>831</v>
      </c>
      <c r="O70">
        <f t="shared" si="6"/>
        <v>209.90000000000003</v>
      </c>
      <c r="P70">
        <f t="shared" si="7"/>
        <v>261.09999999999997</v>
      </c>
      <c r="Q70">
        <f t="shared" si="8"/>
        <v>206.2</v>
      </c>
      <c r="R70">
        <f t="shared" si="9"/>
        <v>156.19999999999999</v>
      </c>
    </row>
    <row r="71" spans="1:18" x14ac:dyDescent="0.2">
      <c r="A71" s="1">
        <v>1966</v>
      </c>
      <c r="B71" s="1">
        <v>90.2</v>
      </c>
      <c r="C71" s="1">
        <v>30.3</v>
      </c>
      <c r="D71" s="1">
        <v>72.400000000000006</v>
      </c>
      <c r="E71" s="1">
        <v>99.8</v>
      </c>
      <c r="F71" s="1">
        <v>80.7</v>
      </c>
      <c r="G71" s="1">
        <v>89.7</v>
      </c>
      <c r="H71" s="1">
        <v>184</v>
      </c>
      <c r="I71" s="1">
        <v>97.7</v>
      </c>
      <c r="J71" s="1">
        <v>31.7</v>
      </c>
      <c r="K71" s="1">
        <v>61.2</v>
      </c>
      <c r="L71" s="1">
        <v>36</v>
      </c>
      <c r="M71" s="1">
        <v>84.7</v>
      </c>
      <c r="N71" s="1">
        <v>958.9</v>
      </c>
      <c r="O71">
        <f t="shared" si="6"/>
        <v>170.3</v>
      </c>
      <c r="P71">
        <f t="shared" si="7"/>
        <v>252.89999999999998</v>
      </c>
      <c r="Q71">
        <f t="shared" si="8"/>
        <v>371.4</v>
      </c>
      <c r="R71">
        <f t="shared" si="9"/>
        <v>128.9</v>
      </c>
    </row>
    <row r="72" spans="1:18" x14ac:dyDescent="0.2">
      <c r="A72" s="1">
        <v>1967</v>
      </c>
      <c r="B72" s="1">
        <v>51.7</v>
      </c>
      <c r="C72" s="1">
        <v>33.9</v>
      </c>
      <c r="D72" s="1">
        <v>121.9</v>
      </c>
      <c r="E72" s="1">
        <v>95.9</v>
      </c>
      <c r="F72" s="1">
        <v>68.900000000000006</v>
      </c>
      <c r="G72" s="1">
        <v>115</v>
      </c>
      <c r="H72" s="1">
        <v>89.9</v>
      </c>
      <c r="I72" s="1">
        <v>14.9</v>
      </c>
      <c r="J72" s="1">
        <v>78</v>
      </c>
      <c r="K72" s="1">
        <v>25.3</v>
      </c>
      <c r="L72" s="1">
        <v>59.9</v>
      </c>
      <c r="M72" s="1">
        <v>122.3</v>
      </c>
      <c r="N72" s="1">
        <v>878.1</v>
      </c>
      <c r="O72">
        <f t="shared" si="6"/>
        <v>288.3</v>
      </c>
      <c r="P72">
        <f t="shared" si="7"/>
        <v>286.70000000000005</v>
      </c>
      <c r="Q72">
        <f t="shared" si="8"/>
        <v>219.8</v>
      </c>
      <c r="R72">
        <f t="shared" si="9"/>
        <v>163.19999999999999</v>
      </c>
    </row>
    <row r="73" spans="1:18" x14ac:dyDescent="0.2">
      <c r="A73" s="1">
        <v>1968</v>
      </c>
      <c r="B73" s="1">
        <v>132.19999999999999</v>
      </c>
      <c r="C73" s="1">
        <v>33.799999999999997</v>
      </c>
      <c r="D73" s="1">
        <v>17.8</v>
      </c>
      <c r="E73" s="1">
        <v>19.2</v>
      </c>
      <c r="F73" s="1">
        <v>51.1</v>
      </c>
      <c r="G73" s="1">
        <v>103.3</v>
      </c>
      <c r="H73" s="1">
        <v>124</v>
      </c>
      <c r="I73" s="1">
        <v>212.7</v>
      </c>
      <c r="J73" s="1">
        <v>66.599999999999994</v>
      </c>
      <c r="K73" s="1">
        <v>38.9</v>
      </c>
      <c r="L73" s="1">
        <v>140.4</v>
      </c>
      <c r="M73" s="1">
        <v>108</v>
      </c>
      <c r="N73" s="1">
        <v>1048</v>
      </c>
      <c r="O73">
        <f t="shared" si="6"/>
        <v>253.60000000000002</v>
      </c>
      <c r="P73">
        <f t="shared" si="7"/>
        <v>88.1</v>
      </c>
      <c r="Q73">
        <f t="shared" si="8"/>
        <v>440</v>
      </c>
      <c r="R73">
        <f t="shared" si="9"/>
        <v>245.9</v>
      </c>
    </row>
    <row r="74" spans="1:18" x14ac:dyDescent="0.2">
      <c r="A74" s="1">
        <v>1969</v>
      </c>
      <c r="B74" s="1">
        <v>43.3</v>
      </c>
      <c r="C74" s="1">
        <v>102.3</v>
      </c>
      <c r="D74" s="1">
        <v>57.4</v>
      </c>
      <c r="E74" s="1">
        <v>69.900000000000006</v>
      </c>
      <c r="F74" s="1">
        <v>55.1</v>
      </c>
      <c r="G74" s="1">
        <v>163.6</v>
      </c>
      <c r="H74" s="1">
        <v>118.7</v>
      </c>
      <c r="I74" s="1">
        <v>67.5</v>
      </c>
      <c r="J74" s="1">
        <v>35.6</v>
      </c>
      <c r="K74" s="1">
        <v>10.1</v>
      </c>
      <c r="L74" s="1">
        <v>76.2</v>
      </c>
      <c r="M74" s="1">
        <v>157.6</v>
      </c>
      <c r="N74" s="1">
        <v>958</v>
      </c>
      <c r="O74">
        <f t="shared" si="6"/>
        <v>389.5</v>
      </c>
      <c r="P74">
        <f t="shared" si="7"/>
        <v>182.4</v>
      </c>
      <c r="Q74">
        <f t="shared" si="8"/>
        <v>349.8</v>
      </c>
      <c r="R74">
        <f t="shared" si="9"/>
        <v>121.9</v>
      </c>
    </row>
    <row r="75" spans="1:18" x14ac:dyDescent="0.2">
      <c r="A75" s="1">
        <v>1970</v>
      </c>
      <c r="B75" s="1">
        <v>111.7</v>
      </c>
      <c r="C75" s="1">
        <v>120.2</v>
      </c>
      <c r="D75" s="1">
        <v>90.9</v>
      </c>
      <c r="E75" s="1">
        <v>89.9</v>
      </c>
      <c r="F75" s="1">
        <v>126</v>
      </c>
      <c r="G75" s="1">
        <v>176.8</v>
      </c>
      <c r="H75" s="1">
        <v>150.19999999999999</v>
      </c>
      <c r="I75" s="1">
        <v>96.9</v>
      </c>
      <c r="J75" s="1">
        <v>54</v>
      </c>
      <c r="K75" s="1">
        <v>96.2</v>
      </c>
      <c r="L75" s="1">
        <v>73.7</v>
      </c>
      <c r="M75" s="1">
        <v>46.6</v>
      </c>
      <c r="N75" s="1">
        <v>1234</v>
      </c>
      <c r="O75">
        <f t="shared" si="6"/>
        <v>153.1</v>
      </c>
      <c r="P75">
        <f t="shared" si="7"/>
        <v>306.8</v>
      </c>
      <c r="Q75">
        <f t="shared" si="8"/>
        <v>423.9</v>
      </c>
      <c r="R75">
        <f t="shared" si="9"/>
        <v>223.89999999999998</v>
      </c>
    </row>
    <row r="76" spans="1:18" x14ac:dyDescent="0.2">
      <c r="A76" s="1">
        <v>1971</v>
      </c>
      <c r="B76" s="1">
        <v>61.5</v>
      </c>
      <c r="C76" s="1">
        <v>45</v>
      </c>
      <c r="D76" s="1">
        <v>59.8</v>
      </c>
      <c r="E76" s="1">
        <v>21.4</v>
      </c>
      <c r="F76" s="1">
        <v>23.4</v>
      </c>
      <c r="G76" s="1">
        <v>75</v>
      </c>
      <c r="H76" s="1">
        <v>14.1</v>
      </c>
      <c r="I76" s="1">
        <v>41</v>
      </c>
      <c r="J76" s="1">
        <v>100.9</v>
      </c>
      <c r="K76" s="1">
        <v>38</v>
      </c>
      <c r="L76" s="1">
        <v>93.8</v>
      </c>
      <c r="M76" s="1">
        <v>26</v>
      </c>
      <c r="N76" s="1">
        <v>599.9</v>
      </c>
      <c r="O76">
        <f t="shared" si="6"/>
        <v>65.2</v>
      </c>
      <c r="P76">
        <f t="shared" si="7"/>
        <v>104.6</v>
      </c>
      <c r="Q76">
        <f t="shared" si="8"/>
        <v>130.1</v>
      </c>
      <c r="R76">
        <f t="shared" si="9"/>
        <v>232.7</v>
      </c>
    </row>
    <row r="77" spans="1:18" x14ac:dyDescent="0.2">
      <c r="A77" s="1">
        <v>1972</v>
      </c>
      <c r="B77" s="1">
        <v>17.5</v>
      </c>
      <c r="C77" s="1">
        <v>21.7</v>
      </c>
      <c r="D77" s="1">
        <v>8.3000000000000007</v>
      </c>
      <c r="E77" s="1">
        <v>90.3</v>
      </c>
      <c r="F77" s="1">
        <v>61.6</v>
      </c>
      <c r="G77" s="1">
        <v>45.7</v>
      </c>
      <c r="H77" s="1">
        <v>290</v>
      </c>
      <c r="I77" s="1">
        <v>147</v>
      </c>
      <c r="J77" s="1">
        <v>60.4</v>
      </c>
      <c r="K77" s="1">
        <v>101.6</v>
      </c>
      <c r="L77" s="1">
        <v>95.7</v>
      </c>
      <c r="M77" s="1">
        <v>4.4000000000000004</v>
      </c>
      <c r="N77" s="1">
        <v>944.7</v>
      </c>
      <c r="O77">
        <f t="shared" si="6"/>
        <v>91.5</v>
      </c>
      <c r="P77">
        <f t="shared" si="7"/>
        <v>160.19999999999999</v>
      </c>
      <c r="Q77">
        <f t="shared" si="8"/>
        <v>482.7</v>
      </c>
      <c r="R77">
        <f t="shared" si="9"/>
        <v>257.7</v>
      </c>
    </row>
    <row r="78" spans="1:18" x14ac:dyDescent="0.2">
      <c r="A78" s="1">
        <v>1973</v>
      </c>
      <c r="B78" s="1">
        <v>26.3</v>
      </c>
      <c r="C78" s="1">
        <v>60.8</v>
      </c>
      <c r="D78" s="1">
        <v>37.5</v>
      </c>
      <c r="E78" s="1">
        <v>136.80000000000001</v>
      </c>
      <c r="F78" s="1">
        <v>34.9</v>
      </c>
      <c r="G78" s="1">
        <v>66.900000000000006</v>
      </c>
      <c r="H78" s="1">
        <v>65.7</v>
      </c>
      <c r="I78" s="1">
        <v>97</v>
      </c>
      <c r="J78" s="1">
        <v>107.3</v>
      </c>
      <c r="K78" s="1">
        <v>48.7</v>
      </c>
      <c r="L78" s="1">
        <v>49.9</v>
      </c>
      <c r="M78" s="1">
        <v>49.3</v>
      </c>
      <c r="N78" s="1">
        <v>782</v>
      </c>
      <c r="O78">
        <f t="shared" si="6"/>
        <v>181.8</v>
      </c>
      <c r="P78">
        <f t="shared" si="7"/>
        <v>209.20000000000002</v>
      </c>
      <c r="Q78">
        <f t="shared" si="8"/>
        <v>229.60000000000002</v>
      </c>
      <c r="R78">
        <f t="shared" si="9"/>
        <v>205.9</v>
      </c>
    </row>
    <row r="79" spans="1:18" x14ac:dyDescent="0.2">
      <c r="A79" s="1">
        <v>1974</v>
      </c>
      <c r="B79" s="1">
        <v>86.3</v>
      </c>
      <c r="C79" s="1">
        <v>46.2</v>
      </c>
      <c r="D79" s="1">
        <v>12</v>
      </c>
      <c r="E79" s="1">
        <v>66</v>
      </c>
      <c r="F79" s="1">
        <v>112</v>
      </c>
      <c r="G79" s="1">
        <v>141.30000000000001</v>
      </c>
      <c r="H79" s="1">
        <v>86.3</v>
      </c>
      <c r="I79" s="1">
        <v>100.7</v>
      </c>
      <c r="J79" s="1">
        <v>69.5</v>
      </c>
      <c r="K79" s="1">
        <v>136.69999999999999</v>
      </c>
      <c r="L79" s="1">
        <v>64.400000000000006</v>
      </c>
      <c r="M79" s="1">
        <v>52.1</v>
      </c>
      <c r="N79" s="1">
        <v>973</v>
      </c>
      <c r="O79">
        <f t="shared" si="6"/>
        <v>104.9</v>
      </c>
      <c r="P79">
        <f t="shared" si="7"/>
        <v>190</v>
      </c>
      <c r="Q79">
        <f t="shared" si="8"/>
        <v>328.3</v>
      </c>
      <c r="R79">
        <f t="shared" si="9"/>
        <v>270.60000000000002</v>
      </c>
    </row>
    <row r="80" spans="1:18" x14ac:dyDescent="0.2">
      <c r="A80" s="1">
        <v>1975</v>
      </c>
      <c r="B80" s="1">
        <v>40.1</v>
      </c>
      <c r="C80" s="1">
        <v>12.7</v>
      </c>
      <c r="D80" s="1">
        <v>20.8</v>
      </c>
      <c r="E80" s="1">
        <v>92.8</v>
      </c>
      <c r="F80" s="1">
        <v>142.30000000000001</v>
      </c>
      <c r="G80" s="1">
        <v>128.80000000000001</v>
      </c>
      <c r="H80" s="1">
        <v>141.30000000000001</v>
      </c>
      <c r="I80" s="1">
        <v>138.9</v>
      </c>
      <c r="J80" s="1">
        <v>41.7</v>
      </c>
      <c r="K80" s="1">
        <v>78.400000000000006</v>
      </c>
      <c r="L80" s="1">
        <v>65.099999999999994</v>
      </c>
      <c r="M80" s="1">
        <v>26.8</v>
      </c>
      <c r="N80" s="1">
        <v>929.7</v>
      </c>
      <c r="O80">
        <f t="shared" si="6"/>
        <v>124.3</v>
      </c>
      <c r="P80">
        <f t="shared" si="7"/>
        <v>255.9</v>
      </c>
      <c r="Q80">
        <f t="shared" si="8"/>
        <v>409</v>
      </c>
      <c r="R80">
        <f t="shared" si="9"/>
        <v>185.2</v>
      </c>
    </row>
    <row r="81" spans="1:18" x14ac:dyDescent="0.2">
      <c r="A81" s="1">
        <v>1976</v>
      </c>
      <c r="B81" s="1">
        <v>82</v>
      </c>
      <c r="C81" s="1">
        <v>15.5</v>
      </c>
      <c r="D81" s="1">
        <v>31.9</v>
      </c>
      <c r="E81" s="1">
        <v>89.2</v>
      </c>
      <c r="F81" s="1">
        <v>101.3</v>
      </c>
      <c r="G81" s="1">
        <v>159.9</v>
      </c>
      <c r="H81" s="1">
        <v>53.9</v>
      </c>
      <c r="I81" s="1">
        <v>68.599999999999994</v>
      </c>
      <c r="J81" s="1">
        <v>91.1</v>
      </c>
      <c r="K81" s="1">
        <v>29.2</v>
      </c>
      <c r="L81" s="1">
        <v>69.2</v>
      </c>
      <c r="M81" s="1">
        <v>74.099999999999994</v>
      </c>
      <c r="N81" s="1">
        <v>866.4</v>
      </c>
      <c r="O81">
        <f t="shared" si="6"/>
        <v>205.6</v>
      </c>
      <c r="P81">
        <f t="shared" si="7"/>
        <v>222.39999999999998</v>
      </c>
      <c r="Q81">
        <f t="shared" si="8"/>
        <v>282.39999999999998</v>
      </c>
      <c r="R81">
        <f t="shared" si="9"/>
        <v>189.5</v>
      </c>
    </row>
    <row r="82" spans="1:18" x14ac:dyDescent="0.2">
      <c r="A82" s="1">
        <v>1977</v>
      </c>
      <c r="B82" s="1">
        <v>39.700000000000003</v>
      </c>
      <c r="C82" s="1">
        <v>91.8</v>
      </c>
      <c r="D82" s="1">
        <v>43.2</v>
      </c>
      <c r="E82" s="1">
        <v>90.6</v>
      </c>
      <c r="F82" s="1">
        <v>76.099999999999994</v>
      </c>
      <c r="G82" s="1">
        <v>70.3</v>
      </c>
      <c r="H82" s="1">
        <v>132</v>
      </c>
      <c r="I82" s="1">
        <v>83.5</v>
      </c>
      <c r="J82" s="1">
        <v>85.4</v>
      </c>
      <c r="K82" s="1">
        <v>50.4</v>
      </c>
      <c r="L82" s="1">
        <v>107.7</v>
      </c>
      <c r="M82" s="1">
        <v>94.3</v>
      </c>
      <c r="N82" s="1">
        <v>965</v>
      </c>
      <c r="O82">
        <f t="shared" si="6"/>
        <v>229.9</v>
      </c>
      <c r="P82">
        <f t="shared" si="7"/>
        <v>209.9</v>
      </c>
      <c r="Q82">
        <f t="shared" si="8"/>
        <v>285.8</v>
      </c>
      <c r="R82">
        <f t="shared" si="9"/>
        <v>243.5</v>
      </c>
    </row>
    <row r="83" spans="1:18" x14ac:dyDescent="0.2">
      <c r="A83" s="1">
        <v>1978</v>
      </c>
      <c r="B83" s="1">
        <v>46.7</v>
      </c>
      <c r="C83" s="1">
        <v>88.9</v>
      </c>
      <c r="D83" s="1">
        <v>77</v>
      </c>
      <c r="E83" s="1">
        <v>60.7</v>
      </c>
      <c r="F83" s="1">
        <v>178.4</v>
      </c>
      <c r="G83" s="1">
        <v>161.5</v>
      </c>
      <c r="H83" s="1">
        <v>76</v>
      </c>
      <c r="I83" s="1">
        <v>31.7</v>
      </c>
      <c r="J83" s="1">
        <v>151.1</v>
      </c>
      <c r="K83" s="1">
        <v>8.4</v>
      </c>
      <c r="L83" s="1">
        <v>13</v>
      </c>
      <c r="M83" s="1">
        <v>79.400000000000006</v>
      </c>
      <c r="N83" s="1">
        <v>973.3</v>
      </c>
      <c r="O83">
        <f t="shared" si="6"/>
        <v>251.10000000000002</v>
      </c>
      <c r="P83">
        <f t="shared" si="7"/>
        <v>316.10000000000002</v>
      </c>
      <c r="Q83">
        <f t="shared" si="8"/>
        <v>269.2</v>
      </c>
      <c r="R83">
        <f t="shared" si="9"/>
        <v>172.5</v>
      </c>
    </row>
    <row r="84" spans="1:18" x14ac:dyDescent="0.2">
      <c r="A84" s="1">
        <v>1979</v>
      </c>
      <c r="B84" s="1">
        <v>108.7</v>
      </c>
      <c r="C84" s="1">
        <v>63</v>
      </c>
      <c r="D84" s="1">
        <v>32.4</v>
      </c>
      <c r="E84" s="1">
        <v>28</v>
      </c>
      <c r="F84" s="1">
        <v>54</v>
      </c>
      <c r="G84" s="1">
        <v>100</v>
      </c>
      <c r="H84" s="1">
        <v>94.6</v>
      </c>
      <c r="I84" s="1">
        <v>92.7</v>
      </c>
      <c r="J84" s="1">
        <v>49.9</v>
      </c>
      <c r="K84" s="1">
        <v>92.9</v>
      </c>
      <c r="L84" s="1">
        <v>67</v>
      </c>
      <c r="M84" s="1">
        <v>61.5</v>
      </c>
      <c r="N84" s="1">
        <v>846</v>
      </c>
      <c r="O84">
        <f t="shared" si="6"/>
        <v>192.70000000000002</v>
      </c>
      <c r="P84">
        <f t="shared" si="7"/>
        <v>114.4</v>
      </c>
      <c r="Q84">
        <f t="shared" si="8"/>
        <v>287.3</v>
      </c>
      <c r="R84">
        <f t="shared" si="9"/>
        <v>209.8</v>
      </c>
    </row>
    <row r="85" spans="1:18" x14ac:dyDescent="0.2">
      <c r="A85" s="1">
        <v>1980</v>
      </c>
      <c r="B85" s="1">
        <v>66.8</v>
      </c>
      <c r="C85" s="1">
        <v>64.400000000000006</v>
      </c>
      <c r="D85" s="1">
        <v>44.7</v>
      </c>
      <c r="E85" s="1">
        <v>87</v>
      </c>
      <c r="F85" s="1">
        <v>128.30000000000001</v>
      </c>
      <c r="G85" s="1">
        <v>111.1</v>
      </c>
      <c r="H85" s="1">
        <v>58.4</v>
      </c>
      <c r="I85" s="1">
        <v>33.6</v>
      </c>
      <c r="J85" s="1">
        <v>73.900000000000006</v>
      </c>
      <c r="K85" s="1">
        <v>73.8</v>
      </c>
      <c r="L85" s="1">
        <v>99.6</v>
      </c>
      <c r="M85" s="1">
        <v>106.1</v>
      </c>
      <c r="N85" s="1">
        <v>947.7</v>
      </c>
      <c r="O85">
        <f t="shared" si="6"/>
        <v>220.39999999999998</v>
      </c>
      <c r="P85">
        <f t="shared" si="7"/>
        <v>260</v>
      </c>
      <c r="Q85">
        <f t="shared" si="8"/>
        <v>203.1</v>
      </c>
      <c r="R85">
        <f t="shared" si="9"/>
        <v>247.29999999999998</v>
      </c>
    </row>
    <row r="86" spans="1:18" x14ac:dyDescent="0.2">
      <c r="A86" s="1">
        <v>1981</v>
      </c>
      <c r="B86" s="1">
        <v>84.8</v>
      </c>
      <c r="C86" s="1">
        <v>29.5</v>
      </c>
      <c r="D86" s="1">
        <v>141.1</v>
      </c>
      <c r="E86" s="1">
        <v>60.7</v>
      </c>
      <c r="F86" s="1">
        <v>103.3</v>
      </c>
      <c r="G86" s="1">
        <v>143.30000000000001</v>
      </c>
      <c r="H86" s="1">
        <v>61.3</v>
      </c>
      <c r="I86" s="1">
        <v>73.3</v>
      </c>
      <c r="J86" s="1">
        <v>48.9</v>
      </c>
      <c r="K86" s="1">
        <v>80.400000000000006</v>
      </c>
      <c r="L86" s="1">
        <v>89.6</v>
      </c>
      <c r="M86" s="1">
        <v>89.7</v>
      </c>
      <c r="N86" s="1">
        <v>1005.9</v>
      </c>
      <c r="O86">
        <f t="shared" si="6"/>
        <v>132.1</v>
      </c>
      <c r="P86">
        <f t="shared" si="7"/>
        <v>305.10000000000002</v>
      </c>
      <c r="Q86">
        <f t="shared" si="8"/>
        <v>277.90000000000003</v>
      </c>
      <c r="R86">
        <f t="shared" si="9"/>
        <v>218.9</v>
      </c>
    </row>
    <row r="87" spans="1:18" x14ac:dyDescent="0.2">
      <c r="A87" s="1">
        <v>1982</v>
      </c>
      <c r="B87" s="1">
        <v>28.2</v>
      </c>
      <c r="C87" s="1">
        <v>14.2</v>
      </c>
      <c r="D87" s="1">
        <v>108.2</v>
      </c>
      <c r="E87" s="1">
        <v>84.6</v>
      </c>
      <c r="F87" s="1">
        <v>26.6</v>
      </c>
      <c r="G87" s="1">
        <v>109.5</v>
      </c>
      <c r="H87" s="1">
        <v>160.1</v>
      </c>
      <c r="I87" s="1">
        <v>84</v>
      </c>
      <c r="J87" s="1">
        <v>32.200000000000003</v>
      </c>
      <c r="K87" s="1">
        <v>102</v>
      </c>
      <c r="L87" s="1">
        <v>33</v>
      </c>
      <c r="M87" s="1">
        <v>71.2</v>
      </c>
      <c r="N87" s="1">
        <v>854</v>
      </c>
      <c r="O87">
        <f t="shared" si="6"/>
        <v>181.39999999999998</v>
      </c>
      <c r="P87">
        <f t="shared" si="7"/>
        <v>219.4</v>
      </c>
      <c r="Q87">
        <f t="shared" si="8"/>
        <v>353.6</v>
      </c>
      <c r="R87">
        <f t="shared" si="9"/>
        <v>167.2</v>
      </c>
    </row>
    <row r="88" spans="1:18" x14ac:dyDescent="0.2">
      <c r="A88" s="1">
        <v>1983</v>
      </c>
      <c r="B88" s="1">
        <v>34.4</v>
      </c>
      <c r="C88" s="1">
        <v>75.8</v>
      </c>
      <c r="D88" s="1">
        <v>44</v>
      </c>
      <c r="E88" s="1">
        <v>60.7</v>
      </c>
      <c r="F88" s="1">
        <v>69.900000000000006</v>
      </c>
      <c r="G88" s="1">
        <v>175.7</v>
      </c>
      <c r="H88" s="1">
        <v>84.1</v>
      </c>
      <c r="I88" s="1">
        <v>72</v>
      </c>
      <c r="J88" s="1">
        <v>133.69999999999999</v>
      </c>
      <c r="K88" s="1">
        <v>38.9</v>
      </c>
      <c r="L88" s="1">
        <v>44.9</v>
      </c>
      <c r="M88" s="1">
        <v>55.5</v>
      </c>
      <c r="N88" s="1">
        <v>890.6</v>
      </c>
      <c r="O88">
        <f t="shared" si="6"/>
        <v>243.1</v>
      </c>
      <c r="P88">
        <f t="shared" si="7"/>
        <v>174.60000000000002</v>
      </c>
      <c r="Q88">
        <f t="shared" si="8"/>
        <v>331.79999999999995</v>
      </c>
      <c r="R88">
        <f t="shared" si="9"/>
        <v>217.5</v>
      </c>
    </row>
    <row r="89" spans="1:18" x14ac:dyDescent="0.2">
      <c r="A89" s="1">
        <v>1984</v>
      </c>
      <c r="B89" s="1">
        <v>85</v>
      </c>
      <c r="C89" s="1">
        <v>102.6</v>
      </c>
      <c r="D89" s="1">
        <v>79.2</v>
      </c>
      <c r="E89" s="1">
        <v>68.400000000000006</v>
      </c>
      <c r="F89" s="1">
        <v>93.4</v>
      </c>
      <c r="G89" s="1">
        <v>107.6</v>
      </c>
      <c r="H89" s="1">
        <v>79.8</v>
      </c>
      <c r="I89" s="1">
        <v>92.4</v>
      </c>
      <c r="J89" s="1">
        <v>52.7</v>
      </c>
      <c r="K89" s="1">
        <v>110.2</v>
      </c>
      <c r="L89" s="1">
        <v>57.3</v>
      </c>
      <c r="M89" s="1">
        <v>16.100000000000001</v>
      </c>
      <c r="N89" s="1">
        <v>944</v>
      </c>
      <c r="O89">
        <f t="shared" si="6"/>
        <v>142.89999999999998</v>
      </c>
      <c r="P89">
        <f t="shared" si="7"/>
        <v>241.00000000000003</v>
      </c>
      <c r="Q89">
        <f t="shared" si="8"/>
        <v>279.79999999999995</v>
      </c>
      <c r="R89">
        <f t="shared" si="9"/>
        <v>220.2</v>
      </c>
    </row>
    <row r="90" spans="1:18" x14ac:dyDescent="0.2">
      <c r="A90" s="1">
        <v>1985</v>
      </c>
      <c r="B90" s="1">
        <v>65.099999999999994</v>
      </c>
      <c r="C90" s="1">
        <v>61.7</v>
      </c>
      <c r="D90" s="1">
        <v>52.2</v>
      </c>
      <c r="E90" s="1">
        <v>100.3</v>
      </c>
      <c r="F90" s="1">
        <v>73.599999999999994</v>
      </c>
      <c r="G90" s="1">
        <v>129.9</v>
      </c>
      <c r="H90" s="1">
        <v>17.5</v>
      </c>
      <c r="I90" s="1">
        <v>148.69999999999999</v>
      </c>
      <c r="J90" s="1">
        <v>6.4</v>
      </c>
      <c r="K90" s="1">
        <v>33.700000000000003</v>
      </c>
      <c r="L90" s="1">
        <v>71.8</v>
      </c>
      <c r="M90" s="1">
        <v>46</v>
      </c>
      <c r="N90" s="1">
        <v>808</v>
      </c>
      <c r="O90">
        <f t="shared" si="6"/>
        <v>171.2</v>
      </c>
      <c r="P90">
        <f t="shared" si="7"/>
        <v>226.1</v>
      </c>
      <c r="Q90">
        <f t="shared" si="8"/>
        <v>296.10000000000002</v>
      </c>
      <c r="R90">
        <f t="shared" si="9"/>
        <v>111.9</v>
      </c>
    </row>
    <row r="91" spans="1:18" x14ac:dyDescent="0.2">
      <c r="A91" s="1">
        <v>1986</v>
      </c>
      <c r="B91" s="1">
        <v>52.8</v>
      </c>
      <c r="C91" s="1">
        <v>72.400000000000006</v>
      </c>
      <c r="D91" s="1">
        <v>77.400000000000006</v>
      </c>
      <c r="E91" s="1">
        <v>77.599999999999994</v>
      </c>
      <c r="F91" s="1">
        <v>88.6</v>
      </c>
      <c r="G91" s="1">
        <v>86.3</v>
      </c>
      <c r="H91" s="1">
        <v>163.6</v>
      </c>
      <c r="I91" s="1">
        <v>115.6</v>
      </c>
      <c r="J91" s="1">
        <v>12.6</v>
      </c>
      <c r="K91" s="1">
        <v>69.400000000000006</v>
      </c>
      <c r="L91" s="1">
        <v>24</v>
      </c>
      <c r="M91" s="1">
        <v>53.8</v>
      </c>
      <c r="N91" s="1">
        <v>895</v>
      </c>
      <c r="O91">
        <f t="shared" si="6"/>
        <v>175.8</v>
      </c>
      <c r="P91">
        <f t="shared" si="7"/>
        <v>243.6</v>
      </c>
      <c r="Q91">
        <f t="shared" si="8"/>
        <v>365.5</v>
      </c>
      <c r="R91">
        <f t="shared" si="9"/>
        <v>106</v>
      </c>
    </row>
    <row r="92" spans="1:18" x14ac:dyDescent="0.2">
      <c r="A92" s="1">
        <v>1987</v>
      </c>
      <c r="B92" s="1">
        <v>107.2</v>
      </c>
      <c r="C92" s="1">
        <v>14.8</v>
      </c>
      <c r="D92" s="1">
        <v>77.900000000000006</v>
      </c>
      <c r="E92" s="1">
        <v>67</v>
      </c>
      <c r="F92" s="1">
        <v>197</v>
      </c>
      <c r="G92" s="1">
        <v>70.8</v>
      </c>
      <c r="H92" s="1">
        <v>71.099999999999994</v>
      </c>
      <c r="I92" s="1">
        <v>108.9</v>
      </c>
      <c r="J92" s="1">
        <v>28.7</v>
      </c>
      <c r="K92" s="1">
        <v>36.700000000000003</v>
      </c>
      <c r="L92" s="1">
        <v>135.30000000000001</v>
      </c>
      <c r="M92" s="1">
        <v>67.900000000000006</v>
      </c>
      <c r="N92" s="1">
        <v>984</v>
      </c>
      <c r="O92">
        <f t="shared" si="6"/>
        <v>180.3</v>
      </c>
      <c r="P92">
        <f t="shared" si="7"/>
        <v>341.9</v>
      </c>
      <c r="Q92">
        <f t="shared" si="8"/>
        <v>250.79999999999998</v>
      </c>
      <c r="R92">
        <f t="shared" si="9"/>
        <v>200.70000000000002</v>
      </c>
    </row>
    <row r="93" spans="1:18" x14ac:dyDescent="0.2">
      <c r="A93" s="1">
        <v>1988</v>
      </c>
      <c r="B93" s="1">
        <v>51.8</v>
      </c>
      <c r="C93" s="1">
        <v>60.6</v>
      </c>
      <c r="D93" s="1">
        <v>128.80000000000001</v>
      </c>
      <c r="E93" s="1">
        <v>59.4</v>
      </c>
      <c r="F93" s="1">
        <v>50.6</v>
      </c>
      <c r="G93" s="1">
        <v>94.2</v>
      </c>
      <c r="H93" s="1">
        <v>16</v>
      </c>
      <c r="I93" s="1">
        <v>34.4</v>
      </c>
      <c r="J93" s="1">
        <v>76.7</v>
      </c>
      <c r="K93" s="1">
        <v>22</v>
      </c>
      <c r="L93" s="1">
        <v>58.7</v>
      </c>
      <c r="M93" s="1">
        <v>56.6</v>
      </c>
      <c r="N93" s="1">
        <v>711</v>
      </c>
      <c r="O93">
        <f t="shared" si="6"/>
        <v>88.7</v>
      </c>
      <c r="P93">
        <f t="shared" si="7"/>
        <v>238.8</v>
      </c>
      <c r="Q93">
        <f t="shared" si="8"/>
        <v>144.6</v>
      </c>
      <c r="R93">
        <f t="shared" si="9"/>
        <v>157.4</v>
      </c>
    </row>
    <row r="94" spans="1:18" x14ac:dyDescent="0.2">
      <c r="A94" s="1">
        <v>1989</v>
      </c>
      <c r="B94" s="1">
        <v>16.100000000000001</v>
      </c>
      <c r="C94" s="1">
        <v>16</v>
      </c>
      <c r="D94" s="1">
        <v>67.5</v>
      </c>
      <c r="E94" s="1">
        <v>80.400000000000006</v>
      </c>
      <c r="F94" s="1">
        <v>149</v>
      </c>
      <c r="G94" s="1">
        <v>171.2</v>
      </c>
      <c r="H94" s="1">
        <v>81.2</v>
      </c>
      <c r="I94" s="1">
        <v>134.30000000000001</v>
      </c>
      <c r="J94" s="1">
        <v>69.3</v>
      </c>
      <c r="K94" s="1">
        <v>80.099999999999994</v>
      </c>
      <c r="L94" s="1">
        <v>53.6</v>
      </c>
      <c r="M94" s="1">
        <v>15.9</v>
      </c>
      <c r="N94" s="1">
        <v>934</v>
      </c>
      <c r="O94">
        <f t="shared" si="6"/>
        <v>88.1</v>
      </c>
      <c r="P94">
        <f t="shared" si="7"/>
        <v>296.89999999999998</v>
      </c>
      <c r="Q94">
        <f t="shared" si="8"/>
        <v>386.7</v>
      </c>
      <c r="R94">
        <f t="shared" si="9"/>
        <v>202.99999999999997</v>
      </c>
    </row>
    <row r="95" spans="1:18" x14ac:dyDescent="0.2">
      <c r="A95" s="1">
        <v>1990</v>
      </c>
      <c r="B95" s="1">
        <v>18.3</v>
      </c>
      <c r="C95" s="1">
        <v>53.9</v>
      </c>
      <c r="D95" s="1">
        <v>31.3</v>
      </c>
      <c r="E95" s="1">
        <v>62.2</v>
      </c>
      <c r="F95" s="1">
        <v>16.399999999999999</v>
      </c>
      <c r="G95" s="1">
        <v>117.3</v>
      </c>
      <c r="H95" s="1">
        <v>40.200000000000003</v>
      </c>
      <c r="I95" s="1">
        <v>43.9</v>
      </c>
      <c r="J95" s="1">
        <v>52</v>
      </c>
      <c r="K95" s="1">
        <v>48.6</v>
      </c>
      <c r="L95" s="1">
        <v>63</v>
      </c>
      <c r="M95" s="1">
        <v>85.8</v>
      </c>
      <c r="N95" s="1">
        <v>632</v>
      </c>
      <c r="O95">
        <f t="shared" si="6"/>
        <v>183.7</v>
      </c>
      <c r="P95">
        <f t="shared" si="7"/>
        <v>109.9</v>
      </c>
      <c r="Q95">
        <f t="shared" si="8"/>
        <v>201.4</v>
      </c>
      <c r="R95">
        <f t="shared" si="9"/>
        <v>163.6</v>
      </c>
    </row>
    <row r="96" spans="1:18" x14ac:dyDescent="0.2">
      <c r="A96" s="1">
        <v>1991</v>
      </c>
      <c r="B96" s="1">
        <v>40.700000000000003</v>
      </c>
      <c r="C96" s="1">
        <v>57.2</v>
      </c>
      <c r="D96" s="1">
        <v>59.9</v>
      </c>
      <c r="E96" s="1">
        <v>73.5</v>
      </c>
      <c r="F96" s="1">
        <v>114.4</v>
      </c>
      <c r="G96" s="1">
        <v>52.4</v>
      </c>
      <c r="H96" s="1">
        <v>193.5</v>
      </c>
      <c r="I96" s="1">
        <v>113.3</v>
      </c>
      <c r="J96" s="1">
        <v>20.2</v>
      </c>
      <c r="K96" s="1">
        <v>133</v>
      </c>
      <c r="L96" s="1">
        <v>129.69999999999999</v>
      </c>
      <c r="M96" s="1">
        <v>58.9</v>
      </c>
      <c r="N96" s="1">
        <v>1046.7</v>
      </c>
      <c r="O96">
        <f t="shared" si="6"/>
        <v>131.19999999999999</v>
      </c>
      <c r="P96">
        <f t="shared" si="7"/>
        <v>247.8</v>
      </c>
      <c r="Q96">
        <f t="shared" si="8"/>
        <v>359.2</v>
      </c>
      <c r="R96">
        <f t="shared" si="9"/>
        <v>282.89999999999998</v>
      </c>
    </row>
    <row r="97" spans="1:18" x14ac:dyDescent="0.2">
      <c r="A97" s="1">
        <v>1992</v>
      </c>
      <c r="B97" s="1">
        <v>23.4</v>
      </c>
      <c r="C97" s="1">
        <v>48.9</v>
      </c>
      <c r="D97" s="1">
        <v>30.3</v>
      </c>
      <c r="E97" s="1">
        <v>49.4</v>
      </c>
      <c r="F97" s="1">
        <v>37.799999999999997</v>
      </c>
      <c r="G97" s="2">
        <v>185.8</v>
      </c>
      <c r="H97" s="2">
        <v>47.644384881164257</v>
      </c>
      <c r="I97" s="2">
        <v>2.8007952286282314</v>
      </c>
      <c r="J97" s="2">
        <v>40.992285199653779</v>
      </c>
      <c r="K97" s="2">
        <v>161.47904069013529</v>
      </c>
      <c r="L97" s="2">
        <v>107.55651827723489</v>
      </c>
      <c r="M97" s="2">
        <v>54.165713657356498</v>
      </c>
      <c r="N97" s="2">
        <v>790.23873793417295</v>
      </c>
      <c r="O97">
        <f t="shared" si="6"/>
        <v>101.75590302167896</v>
      </c>
      <c r="P97">
        <f t="shared" si="7"/>
        <v>117.5</v>
      </c>
      <c r="Q97">
        <f t="shared" si="8"/>
        <v>236.2451801097925</v>
      </c>
      <c r="R97">
        <f t="shared" si="9"/>
        <v>310.02784416702394</v>
      </c>
    </row>
    <row r="98" spans="1:18" x14ac:dyDescent="0.2">
      <c r="A98" s="1">
        <v>1993</v>
      </c>
      <c r="B98" s="2">
        <v>23.063179546562658</v>
      </c>
      <c r="C98" s="2">
        <v>24.527009817759797</v>
      </c>
      <c r="D98" s="2">
        <v>93.723769441370081</v>
      </c>
      <c r="E98" s="2">
        <v>40.615280633997088</v>
      </c>
      <c r="F98" s="2">
        <v>40.963152216555514</v>
      </c>
      <c r="G98" s="2">
        <v>96.883659404179639</v>
      </c>
      <c r="H98" s="2">
        <v>80.452141137053673</v>
      </c>
      <c r="I98" s="2">
        <v>38.700000000000003</v>
      </c>
      <c r="J98" s="2">
        <v>88.6</v>
      </c>
      <c r="K98" s="2">
        <v>51.5</v>
      </c>
      <c r="L98" s="2">
        <v>123.5</v>
      </c>
      <c r="M98" s="2">
        <v>86</v>
      </c>
      <c r="N98" s="2">
        <v>788.52819219747846</v>
      </c>
      <c r="O98">
        <f t="shared" si="6"/>
        <v>208.3</v>
      </c>
      <c r="P98">
        <f t="shared" si="7"/>
        <v>175.3022022919227</v>
      </c>
      <c r="Q98">
        <f t="shared" si="8"/>
        <v>216.0358005412333</v>
      </c>
      <c r="R98">
        <f t="shared" si="9"/>
        <v>263.60000000000002</v>
      </c>
    </row>
    <row r="99" spans="1:18" x14ac:dyDescent="0.2">
      <c r="A99" s="1">
        <v>1994</v>
      </c>
      <c r="B99" s="1">
        <v>84.3</v>
      </c>
      <c r="C99" s="1">
        <v>38</v>
      </c>
      <c r="D99" s="1">
        <v>52.8</v>
      </c>
      <c r="E99" s="1">
        <v>66.5</v>
      </c>
      <c r="F99" s="1">
        <v>85.5</v>
      </c>
      <c r="G99" s="1">
        <v>178.2</v>
      </c>
      <c r="H99" s="1">
        <v>78.3</v>
      </c>
      <c r="I99" s="1">
        <v>32.4</v>
      </c>
      <c r="J99" s="1">
        <v>99.5</v>
      </c>
      <c r="K99" s="1">
        <v>70.5</v>
      </c>
      <c r="L99" s="1">
        <v>20.9</v>
      </c>
      <c r="M99" s="1">
        <v>48.5</v>
      </c>
      <c r="N99" s="1">
        <v>855.4</v>
      </c>
      <c r="O99">
        <f t="shared" si="6"/>
        <v>233.8</v>
      </c>
      <c r="P99">
        <f t="shared" si="7"/>
        <v>204.8</v>
      </c>
      <c r="Q99">
        <f t="shared" si="8"/>
        <v>288.89999999999998</v>
      </c>
      <c r="R99">
        <f t="shared" si="9"/>
        <v>190.9</v>
      </c>
    </row>
    <row r="100" spans="1:18" x14ac:dyDescent="0.2">
      <c r="A100" s="1">
        <v>1995</v>
      </c>
      <c r="B100" s="1">
        <v>139.4</v>
      </c>
      <c r="C100" s="1">
        <v>45.9</v>
      </c>
      <c r="D100" s="1">
        <v>73.5</v>
      </c>
      <c r="E100" s="1">
        <v>35.799999999999997</v>
      </c>
      <c r="F100" s="1">
        <v>87.5</v>
      </c>
      <c r="G100" s="1">
        <v>93.4</v>
      </c>
      <c r="H100" s="1">
        <v>72</v>
      </c>
      <c r="I100" s="1">
        <v>69.599999999999994</v>
      </c>
      <c r="J100" s="1">
        <v>82</v>
      </c>
      <c r="K100" s="1">
        <v>48.5</v>
      </c>
      <c r="L100" s="1">
        <v>96</v>
      </c>
      <c r="M100" s="1">
        <v>49</v>
      </c>
      <c r="N100" s="1">
        <v>892.6</v>
      </c>
      <c r="O100">
        <f t="shared" si="6"/>
        <v>192.47961360312047</v>
      </c>
      <c r="P100">
        <f t="shared" si="7"/>
        <v>196.8</v>
      </c>
      <c r="Q100">
        <f t="shared" si="8"/>
        <v>235</v>
      </c>
      <c r="R100">
        <f t="shared" si="9"/>
        <v>226.5</v>
      </c>
    </row>
    <row r="101" spans="1:18" x14ac:dyDescent="0.2">
      <c r="A101" s="1">
        <v>1996</v>
      </c>
      <c r="B101" s="2">
        <v>99.779613603120453</v>
      </c>
      <c r="C101" s="1">
        <v>43.7</v>
      </c>
      <c r="D101" s="1">
        <v>46.3</v>
      </c>
      <c r="E101" s="1">
        <v>53.4</v>
      </c>
      <c r="F101" s="1">
        <v>54.3</v>
      </c>
      <c r="G101" s="1">
        <v>65.599999999999994</v>
      </c>
      <c r="H101" s="1">
        <v>57.6</v>
      </c>
      <c r="I101" s="1">
        <v>50.2</v>
      </c>
      <c r="J101" s="1">
        <v>180.3</v>
      </c>
      <c r="K101" s="1">
        <v>69.8</v>
      </c>
      <c r="L101" s="2">
        <v>116.51202316322836</v>
      </c>
      <c r="M101" s="1">
        <v>85.7</v>
      </c>
      <c r="N101" s="2">
        <v>923.19163676634889</v>
      </c>
      <c r="O101">
        <f t="shared" si="6"/>
        <v>161.70000000000002</v>
      </c>
      <c r="P101">
        <f t="shared" si="7"/>
        <v>154</v>
      </c>
      <c r="Q101">
        <f t="shared" si="8"/>
        <v>173.39999999999998</v>
      </c>
      <c r="R101">
        <f t="shared" si="9"/>
        <v>366.6120231632284</v>
      </c>
    </row>
    <row r="102" spans="1:18" x14ac:dyDescent="0.2">
      <c r="A102" s="1">
        <v>1997</v>
      </c>
      <c r="B102" s="1">
        <v>36.1</v>
      </c>
      <c r="C102" s="1">
        <v>39.9</v>
      </c>
      <c r="D102" s="1">
        <v>11</v>
      </c>
      <c r="E102" s="1">
        <v>54.8</v>
      </c>
      <c r="F102" s="1">
        <v>27</v>
      </c>
      <c r="G102" s="1">
        <v>43.9</v>
      </c>
      <c r="H102" s="1">
        <v>155.1</v>
      </c>
      <c r="I102" s="1">
        <v>82.9</v>
      </c>
      <c r="J102" s="1">
        <v>10.1</v>
      </c>
      <c r="K102" s="1">
        <v>113.5</v>
      </c>
      <c r="L102" s="1">
        <v>61.7</v>
      </c>
      <c r="M102" s="1">
        <v>77</v>
      </c>
      <c r="N102" s="1">
        <v>713</v>
      </c>
      <c r="O102">
        <f t="shared" si="6"/>
        <v>179.8</v>
      </c>
      <c r="P102">
        <f t="shared" si="7"/>
        <v>92.8</v>
      </c>
      <c r="Q102">
        <f t="shared" si="8"/>
        <v>281.89999999999998</v>
      </c>
      <c r="R102">
        <f t="shared" si="9"/>
        <v>185.3</v>
      </c>
    </row>
    <row r="103" spans="1:18" x14ac:dyDescent="0.2">
      <c r="A103" s="1">
        <v>1998</v>
      </c>
      <c r="B103" s="1">
        <v>92.8</v>
      </c>
      <c r="C103" s="1">
        <v>10</v>
      </c>
      <c r="D103" s="1">
        <v>36.5</v>
      </c>
      <c r="E103" s="1">
        <v>48.6</v>
      </c>
      <c r="F103" s="1">
        <v>62.4</v>
      </c>
      <c r="G103" s="1">
        <v>116.7</v>
      </c>
      <c r="H103" s="1">
        <v>99.2</v>
      </c>
      <c r="I103" s="1">
        <v>88</v>
      </c>
      <c r="J103" s="1">
        <v>122.3</v>
      </c>
      <c r="K103" s="1">
        <v>104</v>
      </c>
      <c r="L103" s="1">
        <v>76</v>
      </c>
      <c r="M103" s="1">
        <v>73.400000000000006</v>
      </c>
      <c r="N103" s="1">
        <v>929.9</v>
      </c>
      <c r="O103">
        <f t="shared" si="6"/>
        <v>225.20000000000002</v>
      </c>
      <c r="P103">
        <f t="shared" si="7"/>
        <v>147.5</v>
      </c>
      <c r="Q103">
        <f t="shared" si="8"/>
        <v>303.89999999999998</v>
      </c>
      <c r="R103">
        <f t="shared" si="9"/>
        <v>302.3</v>
      </c>
    </row>
    <row r="104" spans="1:18" x14ac:dyDescent="0.2">
      <c r="A104" s="1">
        <v>1999</v>
      </c>
      <c r="B104" s="1">
        <v>63.7</v>
      </c>
      <c r="C104" s="1">
        <v>88.1</v>
      </c>
      <c r="D104" s="1">
        <v>32.299999999999997</v>
      </c>
      <c r="E104" s="1">
        <v>71</v>
      </c>
      <c r="F104" s="1">
        <v>48.4</v>
      </c>
      <c r="G104" s="1">
        <v>165.6</v>
      </c>
      <c r="H104" s="1">
        <v>159.69999999999999</v>
      </c>
      <c r="I104" s="1">
        <v>39</v>
      </c>
      <c r="J104" s="1">
        <v>53.9</v>
      </c>
      <c r="K104" s="1">
        <v>38.799999999999997</v>
      </c>
      <c r="L104" s="1">
        <v>143</v>
      </c>
      <c r="M104" s="1">
        <v>183.9</v>
      </c>
      <c r="N104" s="1">
        <v>1087.4000000000001</v>
      </c>
      <c r="O104">
        <f t="shared" si="6"/>
        <v>255.6</v>
      </c>
      <c r="P104">
        <f t="shared" si="7"/>
        <v>151.69999999999999</v>
      </c>
      <c r="Q104">
        <f t="shared" si="8"/>
        <v>364.29999999999995</v>
      </c>
      <c r="R104">
        <f t="shared" si="9"/>
        <v>235.7</v>
      </c>
    </row>
    <row r="105" spans="1:18" x14ac:dyDescent="0.2">
      <c r="A105" s="1">
        <v>2000</v>
      </c>
      <c r="B105" s="1">
        <v>37.1</v>
      </c>
      <c r="C105" s="1">
        <v>34.6</v>
      </c>
      <c r="D105" s="1">
        <v>61.7</v>
      </c>
      <c r="E105" s="1">
        <v>58.5</v>
      </c>
      <c r="F105" s="1">
        <v>51.7</v>
      </c>
      <c r="G105" s="1">
        <v>46.7</v>
      </c>
      <c r="H105" s="1">
        <v>31.1</v>
      </c>
      <c r="I105" s="1">
        <v>19.8</v>
      </c>
      <c r="J105" s="1">
        <v>72.599999999999994</v>
      </c>
      <c r="K105" s="1">
        <v>44.5</v>
      </c>
      <c r="L105" s="1">
        <v>44.8</v>
      </c>
      <c r="M105" s="1">
        <v>65.599999999999994</v>
      </c>
      <c r="N105" s="1">
        <v>568.70000000000005</v>
      </c>
      <c r="O105">
        <f t="shared" si="6"/>
        <v>222.7</v>
      </c>
      <c r="P105">
        <f t="shared" si="7"/>
        <v>171.9</v>
      </c>
      <c r="Q105">
        <f t="shared" si="8"/>
        <v>97.600000000000009</v>
      </c>
      <c r="R105">
        <f t="shared" si="9"/>
        <v>161.89999999999998</v>
      </c>
    </row>
    <row r="106" spans="1:18" x14ac:dyDescent="0.2">
      <c r="A106" s="1">
        <v>2001</v>
      </c>
      <c r="B106" s="1">
        <v>103.4</v>
      </c>
      <c r="C106" s="1">
        <v>53.7</v>
      </c>
      <c r="D106" s="1">
        <v>61.1</v>
      </c>
      <c r="E106" s="1">
        <v>93.2</v>
      </c>
      <c r="F106" s="1">
        <v>67.099999999999994</v>
      </c>
      <c r="G106" s="1">
        <v>337.5</v>
      </c>
      <c r="H106" s="1">
        <v>94.6</v>
      </c>
      <c r="I106" s="1">
        <v>45.4</v>
      </c>
      <c r="J106" s="1">
        <v>304.2</v>
      </c>
      <c r="K106" s="1">
        <v>12.9</v>
      </c>
      <c r="L106" s="1">
        <v>116.5</v>
      </c>
      <c r="M106" s="1">
        <v>35.5</v>
      </c>
      <c r="N106" s="1">
        <v>1325.1</v>
      </c>
      <c r="O106">
        <f t="shared" si="6"/>
        <v>102</v>
      </c>
      <c r="P106">
        <f t="shared" si="7"/>
        <v>221.4</v>
      </c>
      <c r="Q106">
        <f t="shared" si="8"/>
        <v>477.5</v>
      </c>
      <c r="R106">
        <f t="shared" si="9"/>
        <v>433.59999999999997</v>
      </c>
    </row>
    <row r="107" spans="1:18" x14ac:dyDescent="0.2">
      <c r="A107" s="1">
        <v>2002</v>
      </c>
      <c r="B107" s="1">
        <v>28.6</v>
      </c>
      <c r="C107" s="1">
        <v>37.9</v>
      </c>
      <c r="D107" s="1">
        <v>48.8</v>
      </c>
      <c r="E107" s="1">
        <v>121.6</v>
      </c>
      <c r="F107" s="1">
        <v>174.6</v>
      </c>
      <c r="G107" s="1">
        <v>79.599999999999994</v>
      </c>
      <c r="H107" s="1">
        <v>68.2</v>
      </c>
      <c r="I107" s="1">
        <v>79.7</v>
      </c>
      <c r="J107" s="1">
        <v>99.5</v>
      </c>
      <c r="K107" s="1">
        <v>113.5</v>
      </c>
      <c r="L107" s="1">
        <v>58.5</v>
      </c>
      <c r="M107" s="1">
        <v>54.2</v>
      </c>
      <c r="N107" s="1">
        <v>964.7</v>
      </c>
      <c r="O107">
        <f t="shared" si="6"/>
        <v>147.9</v>
      </c>
      <c r="P107">
        <f t="shared" si="7"/>
        <v>345</v>
      </c>
      <c r="Q107">
        <f t="shared" si="8"/>
        <v>227.5</v>
      </c>
      <c r="R107">
        <f t="shared" si="9"/>
        <v>271.5</v>
      </c>
    </row>
    <row r="108" spans="1:18" x14ac:dyDescent="0.2">
      <c r="A108" s="1">
        <v>2003</v>
      </c>
      <c r="B108" s="1">
        <v>59.1</v>
      </c>
      <c r="C108" s="1">
        <v>34.6</v>
      </c>
      <c r="D108" s="1">
        <v>12.5</v>
      </c>
      <c r="E108" s="1">
        <v>33.5</v>
      </c>
      <c r="F108" s="1">
        <v>71.900000000000006</v>
      </c>
      <c r="G108" s="1">
        <v>47.2</v>
      </c>
      <c r="H108" s="1">
        <v>117.5</v>
      </c>
      <c r="I108" s="1">
        <v>32.9</v>
      </c>
      <c r="J108" s="1">
        <v>55</v>
      </c>
      <c r="K108" s="1">
        <v>177.7</v>
      </c>
      <c r="L108" s="1">
        <v>29.9</v>
      </c>
      <c r="M108" s="1">
        <v>62.5</v>
      </c>
      <c r="N108" s="1">
        <v>734.3</v>
      </c>
      <c r="O108">
        <f t="shared" si="6"/>
        <v>219.10000000000002</v>
      </c>
      <c r="P108">
        <f t="shared" si="7"/>
        <v>117.9</v>
      </c>
      <c r="Q108">
        <f t="shared" si="8"/>
        <v>197.6</v>
      </c>
      <c r="R108">
        <f t="shared" si="9"/>
        <v>262.59999999999997</v>
      </c>
    </row>
    <row r="109" spans="1:18" x14ac:dyDescent="0.2">
      <c r="A109" s="1">
        <v>2004</v>
      </c>
      <c r="B109" s="1">
        <v>77.8</v>
      </c>
      <c r="C109" s="1">
        <v>78.8</v>
      </c>
      <c r="D109" s="1">
        <v>26.6</v>
      </c>
      <c r="E109" s="1">
        <v>163.30000000000001</v>
      </c>
      <c r="F109" s="1">
        <v>104.4</v>
      </c>
      <c r="G109" s="1">
        <v>98.3</v>
      </c>
      <c r="H109" s="1">
        <v>134.9</v>
      </c>
      <c r="I109" s="1">
        <v>69.599999999999994</v>
      </c>
      <c r="J109" s="1">
        <v>62.7</v>
      </c>
      <c r="K109" s="1">
        <v>79</v>
      </c>
      <c r="L109" s="1">
        <v>95</v>
      </c>
      <c r="M109" s="1">
        <v>48.7</v>
      </c>
      <c r="N109" s="1">
        <v>1039.0999999999999</v>
      </c>
      <c r="O109">
        <f t="shared" si="6"/>
        <v>188.3</v>
      </c>
      <c r="P109">
        <f t="shared" si="7"/>
        <v>294.3</v>
      </c>
      <c r="Q109">
        <f t="shared" si="8"/>
        <v>302.79999999999995</v>
      </c>
      <c r="R109">
        <f t="shared" si="9"/>
        <v>236.7</v>
      </c>
    </row>
    <row r="110" spans="1:18" x14ac:dyDescent="0.2">
      <c r="A110" s="1">
        <v>2005</v>
      </c>
      <c r="B110" s="1">
        <v>50.1</v>
      </c>
      <c r="C110" s="1">
        <v>89.5</v>
      </c>
      <c r="D110" s="1">
        <v>78.8</v>
      </c>
      <c r="E110" s="1">
        <v>82.2</v>
      </c>
      <c r="F110" s="1">
        <v>72.599999999999994</v>
      </c>
      <c r="G110" s="1">
        <v>193.9</v>
      </c>
      <c r="H110" s="1">
        <v>227.1</v>
      </c>
      <c r="I110" s="1">
        <v>187.4</v>
      </c>
      <c r="J110" s="1">
        <v>62.4</v>
      </c>
      <c r="K110" s="1">
        <v>21.2</v>
      </c>
      <c r="L110" s="1">
        <v>31.3</v>
      </c>
      <c r="M110" s="1">
        <v>118.9</v>
      </c>
      <c r="N110" s="1">
        <v>1215.4000000000001</v>
      </c>
      <c r="O110">
        <f t="shared" si="6"/>
        <v>203.2</v>
      </c>
      <c r="P110">
        <f t="shared" si="7"/>
        <v>233.6</v>
      </c>
      <c r="Q110">
        <f t="shared" si="8"/>
        <v>608.4</v>
      </c>
      <c r="R110">
        <f t="shared" si="9"/>
        <v>114.89999999999999</v>
      </c>
    </row>
    <row r="111" spans="1:18" x14ac:dyDescent="0.2">
      <c r="A111" s="1">
        <v>2006</v>
      </c>
      <c r="B111" s="1">
        <v>38.6</v>
      </c>
      <c r="C111" s="1">
        <v>45.7</v>
      </c>
      <c r="D111" s="1">
        <v>99.3</v>
      </c>
      <c r="E111" s="1">
        <v>96.5</v>
      </c>
      <c r="F111" s="1">
        <v>74.2</v>
      </c>
      <c r="G111" s="1">
        <v>134.30000000000001</v>
      </c>
      <c r="H111" s="1">
        <v>60.7</v>
      </c>
      <c r="I111" s="1">
        <v>196.1</v>
      </c>
      <c r="J111" s="1">
        <v>33.299999999999997</v>
      </c>
      <c r="K111" s="1">
        <v>40.200000000000003</v>
      </c>
      <c r="L111" s="1">
        <v>45.1</v>
      </c>
      <c r="M111" s="1">
        <v>42.7</v>
      </c>
      <c r="N111" s="1">
        <v>906.7</v>
      </c>
      <c r="O111">
        <f t="shared" si="6"/>
        <v>159.19999999999999</v>
      </c>
      <c r="P111">
        <f t="shared" si="7"/>
        <v>270</v>
      </c>
      <c r="Q111">
        <f t="shared" si="8"/>
        <v>391.1</v>
      </c>
      <c r="R111">
        <f t="shared" si="9"/>
        <v>118.6</v>
      </c>
    </row>
    <row r="112" spans="1:18" x14ac:dyDescent="0.2">
      <c r="A112" s="1">
        <v>2007</v>
      </c>
      <c r="B112" s="1">
        <v>64.8</v>
      </c>
      <c r="C112" s="1">
        <v>51.7</v>
      </c>
      <c r="D112" s="1">
        <v>76.7</v>
      </c>
      <c r="E112" s="1">
        <v>18.3</v>
      </c>
      <c r="F112" s="1">
        <v>89.2</v>
      </c>
      <c r="G112" s="1">
        <v>57.9</v>
      </c>
      <c r="H112" s="1">
        <v>36.4</v>
      </c>
      <c r="I112" s="1">
        <v>72.900000000000006</v>
      </c>
      <c r="J112" s="1">
        <v>106.4</v>
      </c>
      <c r="K112" s="1">
        <v>113.9</v>
      </c>
      <c r="L112" s="1">
        <v>88.2</v>
      </c>
      <c r="M112" s="1">
        <v>54.4</v>
      </c>
      <c r="N112" s="1">
        <v>830.8</v>
      </c>
      <c r="O112">
        <f t="shared" si="6"/>
        <v>98.5</v>
      </c>
      <c r="P112">
        <f t="shared" si="7"/>
        <v>184.2</v>
      </c>
      <c r="Q112">
        <f t="shared" si="8"/>
        <v>167.2</v>
      </c>
      <c r="R112">
        <f t="shared" si="9"/>
        <v>308.5</v>
      </c>
    </row>
    <row r="113" spans="1:18" x14ac:dyDescent="0.2">
      <c r="A113" s="1">
        <v>2008</v>
      </c>
      <c r="B113" s="1">
        <v>30.1</v>
      </c>
      <c r="C113" s="1">
        <v>14</v>
      </c>
      <c r="D113" s="1">
        <v>96.4</v>
      </c>
      <c r="E113" s="1">
        <v>53.5</v>
      </c>
      <c r="F113" s="1">
        <v>99.7</v>
      </c>
      <c r="G113" s="1">
        <v>113.2</v>
      </c>
      <c r="H113" s="1">
        <v>128.4</v>
      </c>
      <c r="I113" s="1">
        <v>27.8</v>
      </c>
      <c r="J113" s="1">
        <v>90</v>
      </c>
      <c r="K113" s="1">
        <v>47</v>
      </c>
      <c r="L113" s="1">
        <v>78.900000000000006</v>
      </c>
      <c r="M113" s="1">
        <v>63.3</v>
      </c>
      <c r="N113" s="1">
        <v>842.3</v>
      </c>
      <c r="O113">
        <f t="shared" si="6"/>
        <v>169.4</v>
      </c>
      <c r="P113">
        <f t="shared" si="7"/>
        <v>249.60000000000002</v>
      </c>
      <c r="Q113">
        <f t="shared" si="8"/>
        <v>269.40000000000003</v>
      </c>
      <c r="R113">
        <f t="shared" si="9"/>
        <v>215.9</v>
      </c>
    </row>
    <row r="114" spans="1:18" x14ac:dyDescent="0.2">
      <c r="A114" s="1">
        <v>2009</v>
      </c>
      <c r="B114" s="1">
        <v>62.1</v>
      </c>
      <c r="C114" s="1">
        <v>44</v>
      </c>
      <c r="D114" s="1">
        <v>99.4</v>
      </c>
      <c r="E114" s="1">
        <v>32.200000000000003</v>
      </c>
      <c r="F114" s="1">
        <v>55.8</v>
      </c>
      <c r="G114" s="1">
        <v>160</v>
      </c>
      <c r="H114" s="1">
        <v>21.5</v>
      </c>
      <c r="I114" s="1">
        <v>86.8</v>
      </c>
      <c r="J114" s="1">
        <v>10.5</v>
      </c>
      <c r="K114" s="1">
        <v>135.69999999999999</v>
      </c>
      <c r="L114" s="1">
        <v>71.8</v>
      </c>
      <c r="M114" s="1">
        <v>135.80000000000001</v>
      </c>
      <c r="N114" s="1">
        <v>915.6</v>
      </c>
      <c r="O114">
        <f t="shared" si="6"/>
        <v>294.89999999999998</v>
      </c>
      <c r="P114">
        <f t="shared" si="7"/>
        <v>187.40000000000003</v>
      </c>
      <c r="Q114">
        <f t="shared" si="8"/>
        <v>268.3</v>
      </c>
      <c r="R114">
        <f t="shared" si="9"/>
        <v>218</v>
      </c>
    </row>
    <row r="115" spans="1:18" x14ac:dyDescent="0.2">
      <c r="A115" s="1">
        <v>2010</v>
      </c>
      <c r="B115" s="1">
        <v>85.5</v>
      </c>
      <c r="C115" s="1">
        <v>73.599999999999994</v>
      </c>
      <c r="D115" s="1">
        <v>55</v>
      </c>
      <c r="E115" s="1">
        <v>101.6</v>
      </c>
      <c r="F115" s="1">
        <v>177</v>
      </c>
      <c r="G115" s="1">
        <v>257.2</v>
      </c>
      <c r="H115" s="1">
        <v>110.1</v>
      </c>
      <c r="I115" s="1">
        <v>85.1</v>
      </c>
      <c r="J115" s="1">
        <v>126.1</v>
      </c>
      <c r="K115" s="1">
        <v>65.400000000000006</v>
      </c>
      <c r="L115" s="1">
        <v>56.5</v>
      </c>
      <c r="M115" s="1">
        <v>68.2</v>
      </c>
      <c r="N115" s="1">
        <v>1261.3</v>
      </c>
      <c r="O115">
        <f t="shared" si="6"/>
        <v>137.1</v>
      </c>
      <c r="P115">
        <f t="shared" si="7"/>
        <v>333.6</v>
      </c>
      <c r="Q115">
        <f t="shared" si="8"/>
        <v>452.4</v>
      </c>
      <c r="R115">
        <f t="shared" si="9"/>
        <v>248</v>
      </c>
    </row>
    <row r="116" spans="1:18" x14ac:dyDescent="0.2">
      <c r="A116" s="1">
        <v>2011</v>
      </c>
      <c r="B116" s="1">
        <v>31.8</v>
      </c>
      <c r="C116" s="1">
        <v>37.1</v>
      </c>
      <c r="D116" s="1">
        <v>13.8</v>
      </c>
      <c r="E116" s="1">
        <v>28.7</v>
      </c>
      <c r="F116" s="1">
        <v>85.7</v>
      </c>
      <c r="G116" s="1">
        <v>73.5</v>
      </c>
      <c r="H116" s="1">
        <v>146.6</v>
      </c>
      <c r="I116" s="1">
        <v>13.4</v>
      </c>
      <c r="J116" s="1">
        <v>13.7</v>
      </c>
      <c r="K116" s="1">
        <v>45.4</v>
      </c>
      <c r="L116" s="1">
        <v>15.4</v>
      </c>
      <c r="M116" s="1">
        <v>61</v>
      </c>
      <c r="N116" s="1">
        <v>566.1</v>
      </c>
      <c r="O116">
        <f t="shared" si="6"/>
        <v>214.5</v>
      </c>
      <c r="P116">
        <f t="shared" si="7"/>
        <v>128.19999999999999</v>
      </c>
      <c r="Q116">
        <f t="shared" si="8"/>
        <v>233.5</v>
      </c>
      <c r="R116">
        <f t="shared" si="9"/>
        <v>74.5</v>
      </c>
    </row>
    <row r="117" spans="1:18" x14ac:dyDescent="0.2">
      <c r="A117" s="1">
        <v>2012</v>
      </c>
      <c r="B117" s="1">
        <v>74.599999999999994</v>
      </c>
      <c r="C117" s="1">
        <v>78.900000000000006</v>
      </c>
      <c r="D117" s="1">
        <v>11.3</v>
      </c>
      <c r="E117" s="1">
        <v>92.2</v>
      </c>
      <c r="F117" s="1">
        <v>136.5</v>
      </c>
      <c r="G117" s="1">
        <v>55.5</v>
      </c>
      <c r="H117" s="1">
        <v>8.3000000000000007</v>
      </c>
      <c r="I117" s="1">
        <v>0</v>
      </c>
      <c r="J117" s="1">
        <v>27.4</v>
      </c>
      <c r="K117" s="1">
        <v>71.900000000000006</v>
      </c>
      <c r="L117" s="1">
        <v>34.4</v>
      </c>
      <c r="M117" s="1">
        <v>88.8</v>
      </c>
      <c r="N117" s="1">
        <v>679.8</v>
      </c>
      <c r="O117">
        <f t="shared" si="6"/>
        <v>250.2</v>
      </c>
      <c r="P117">
        <f t="shared" si="7"/>
        <v>240</v>
      </c>
      <c r="Q117">
        <f t="shared" si="8"/>
        <v>63.8</v>
      </c>
      <c r="R117">
        <f t="shared" si="9"/>
        <v>133.70000000000002</v>
      </c>
    </row>
    <row r="118" spans="1:18" x14ac:dyDescent="0.2">
      <c r="A118" s="1">
        <v>2013</v>
      </c>
      <c r="B118" s="1">
        <v>81.599999999999994</v>
      </c>
      <c r="C118" s="1">
        <v>79.8</v>
      </c>
      <c r="D118" s="1">
        <v>80.400000000000006</v>
      </c>
      <c r="E118" s="1">
        <v>30.9</v>
      </c>
      <c r="F118" s="1">
        <v>168</v>
      </c>
      <c r="G118" s="1">
        <v>74.3</v>
      </c>
      <c r="H118" s="1">
        <v>54.9</v>
      </c>
      <c r="I118" s="1">
        <v>36.4</v>
      </c>
      <c r="J118" s="1">
        <v>79.099999999999994</v>
      </c>
      <c r="K118" s="1">
        <v>58.2</v>
      </c>
      <c r="L118" s="1">
        <v>95.7</v>
      </c>
      <c r="M118" s="1">
        <v>2</v>
      </c>
      <c r="N118" s="1">
        <v>841.3</v>
      </c>
      <c r="O118">
        <f t="shared" si="6"/>
        <v>69.7</v>
      </c>
      <c r="P118">
        <f t="shared" si="7"/>
        <v>279.3</v>
      </c>
      <c r="Q118">
        <f t="shared" si="8"/>
        <v>165.6</v>
      </c>
      <c r="R118">
        <f t="shared" si="9"/>
        <v>233</v>
      </c>
    </row>
    <row r="119" spans="1:18" x14ac:dyDescent="0.2">
      <c r="A119" s="1">
        <v>2014</v>
      </c>
      <c r="B119" s="1">
        <v>28.6</v>
      </c>
      <c r="C119" s="1">
        <v>39.1</v>
      </c>
      <c r="D119" s="1">
        <v>72.400000000000006</v>
      </c>
      <c r="E119" s="1">
        <v>186.9</v>
      </c>
      <c r="F119" s="1">
        <v>339.3</v>
      </c>
      <c r="G119" s="1">
        <v>64.099999999999994</v>
      </c>
      <c r="H119" s="1">
        <v>111.7</v>
      </c>
      <c r="I119" s="1">
        <v>183.5</v>
      </c>
      <c r="J119" s="1">
        <v>135.30000000000001</v>
      </c>
      <c r="K119" s="1">
        <v>94</v>
      </c>
      <c r="L119" s="1">
        <v>22.6</v>
      </c>
      <c r="M119" s="1">
        <v>75.599999999999994</v>
      </c>
      <c r="N119" s="1">
        <v>1353.1</v>
      </c>
      <c r="O119">
        <f t="shared" si="6"/>
        <v>212.39999999999998</v>
      </c>
      <c r="P119">
        <f t="shared" si="7"/>
        <v>598.6</v>
      </c>
      <c r="Q119">
        <f t="shared" si="8"/>
        <v>359.3</v>
      </c>
      <c r="R119">
        <f t="shared" si="9"/>
        <v>251.9</v>
      </c>
    </row>
    <row r="120" spans="1:18" x14ac:dyDescent="0.2">
      <c r="A120" s="1">
        <v>2015</v>
      </c>
      <c r="B120" s="1">
        <v>75.5</v>
      </c>
      <c r="C120" s="1">
        <v>61.3</v>
      </c>
      <c r="D120" s="1">
        <v>112</v>
      </c>
      <c r="E120" s="1">
        <v>57.7</v>
      </c>
      <c r="F120" s="1">
        <v>122</v>
      </c>
      <c r="G120" s="1">
        <v>92.5</v>
      </c>
      <c r="H120" s="1">
        <v>10.7</v>
      </c>
      <c r="I120" s="1">
        <v>55.3</v>
      </c>
      <c r="J120" s="1">
        <v>80.5</v>
      </c>
      <c r="K120" s="1">
        <v>115.9</v>
      </c>
      <c r="L120" s="1">
        <v>83.4</v>
      </c>
      <c r="M120" s="1">
        <v>5.2</v>
      </c>
      <c r="N120" s="1">
        <v>872</v>
      </c>
      <c r="O120">
        <f t="shared" si="6"/>
        <v>155.30000000000001</v>
      </c>
      <c r="P120">
        <f t="shared" si="7"/>
        <v>291.7</v>
      </c>
      <c r="Q120">
        <f t="shared" si="8"/>
        <v>158.5</v>
      </c>
      <c r="R120">
        <f t="shared" si="9"/>
        <v>279.8</v>
      </c>
    </row>
    <row r="121" spans="1:18" x14ac:dyDescent="0.2">
      <c r="A121" s="1">
        <v>2016</v>
      </c>
      <c r="B121" s="1">
        <v>75.3</v>
      </c>
      <c r="C121" s="1">
        <v>74.8</v>
      </c>
      <c r="D121" s="1">
        <v>115.7</v>
      </c>
      <c r="E121" s="1">
        <v>87.7</v>
      </c>
      <c r="F121" s="1">
        <v>85.8</v>
      </c>
      <c r="G121" s="1">
        <v>81.400000000000006</v>
      </c>
      <c r="H121" s="1">
        <v>125.9</v>
      </c>
      <c r="I121" s="1">
        <v>117.3</v>
      </c>
      <c r="J121" s="1">
        <v>29</v>
      </c>
      <c r="K121" s="1">
        <v>58.6</v>
      </c>
      <c r="L121" s="1">
        <v>86.2</v>
      </c>
      <c r="M121" s="1">
        <v>8.3000000000000007</v>
      </c>
      <c r="N121" s="1">
        <f>SUM(B121:M121)</f>
        <v>946</v>
      </c>
      <c r="O121">
        <f t="shared" si="6"/>
        <v>122.3</v>
      </c>
      <c r="P121">
        <f t="shared" si="7"/>
        <v>289.2</v>
      </c>
      <c r="Q121">
        <f t="shared" si="8"/>
        <v>324.60000000000002</v>
      </c>
      <c r="R121">
        <f t="shared" si="9"/>
        <v>173.8</v>
      </c>
    </row>
    <row r="122" spans="1:18" x14ac:dyDescent="0.2">
      <c r="A122" s="1">
        <v>2017</v>
      </c>
      <c r="B122" s="1">
        <v>41.8</v>
      </c>
      <c r="C122" s="1">
        <v>72.2</v>
      </c>
      <c r="D122" s="1">
        <v>64.8</v>
      </c>
      <c r="E122" s="1">
        <v>155.4</v>
      </c>
      <c r="F122" s="1">
        <v>134</v>
      </c>
      <c r="G122" s="1">
        <v>62.3</v>
      </c>
      <c r="H122" s="1">
        <v>82.2</v>
      </c>
      <c r="I122" s="1">
        <v>27.3</v>
      </c>
      <c r="J122" s="1">
        <v>87.4</v>
      </c>
      <c r="K122" s="1">
        <v>116.8</v>
      </c>
      <c r="L122" s="1">
        <v>69.099999999999994</v>
      </c>
      <c r="M122" s="1">
        <v>98</v>
      </c>
      <c r="N122" s="1">
        <v>1011.3</v>
      </c>
      <c r="O122">
        <f t="shared" si="6"/>
        <v>258.70000000000005</v>
      </c>
      <c r="P122">
        <f t="shared" si="7"/>
        <v>354.2</v>
      </c>
      <c r="Q122">
        <f t="shared" si="8"/>
        <v>171.8</v>
      </c>
      <c r="R122">
        <f t="shared" si="9"/>
        <v>273.29999999999995</v>
      </c>
    </row>
    <row r="123" spans="1:18" x14ac:dyDescent="0.2">
      <c r="A123" s="1">
        <v>2018</v>
      </c>
      <c r="B123" s="1">
        <v>68.8</v>
      </c>
      <c r="C123" s="1">
        <v>91.9</v>
      </c>
      <c r="D123" s="1">
        <v>89.3</v>
      </c>
      <c r="E123" s="1">
        <v>54.3</v>
      </c>
      <c r="F123" s="1">
        <v>164</v>
      </c>
      <c r="G123" s="1">
        <v>110.7</v>
      </c>
      <c r="H123" s="1">
        <v>113.4</v>
      </c>
      <c r="I123" s="1">
        <v>47.9</v>
      </c>
      <c r="J123" s="1">
        <v>33.9</v>
      </c>
      <c r="K123" s="1">
        <v>27.6</v>
      </c>
      <c r="L123" s="1">
        <v>49</v>
      </c>
      <c r="M123" s="1">
        <v>84</v>
      </c>
      <c r="N123" s="1">
        <v>934.8</v>
      </c>
      <c r="O123">
        <f t="shared" si="6"/>
        <v>199.1</v>
      </c>
      <c r="P123">
        <f t="shared" si="7"/>
        <v>307.60000000000002</v>
      </c>
      <c r="Q123">
        <f t="shared" si="8"/>
        <v>272</v>
      </c>
      <c r="R123">
        <f t="shared" si="9"/>
        <v>110.5</v>
      </c>
    </row>
    <row r="124" spans="1:18" x14ac:dyDescent="0.2">
      <c r="A124" s="1">
        <v>2019</v>
      </c>
      <c r="B124" s="1">
        <v>67.7</v>
      </c>
      <c r="C124" s="1">
        <v>47.4</v>
      </c>
      <c r="D124" s="1">
        <v>29</v>
      </c>
      <c r="E124" s="1">
        <v>90.2</v>
      </c>
      <c r="F124" s="1">
        <v>111.1</v>
      </c>
      <c r="G124" s="1">
        <v>159.1</v>
      </c>
      <c r="H124" s="1">
        <v>105.4</v>
      </c>
      <c r="I124" s="1">
        <v>47.1</v>
      </c>
      <c r="J124" s="1">
        <v>50.8</v>
      </c>
      <c r="K124" s="1">
        <v>37.700000000000003</v>
      </c>
      <c r="L124" s="1">
        <v>57.9</v>
      </c>
      <c r="M124" s="1">
        <v>87.3</v>
      </c>
      <c r="N124" s="1">
        <v>890.7</v>
      </c>
      <c r="O124">
        <f t="shared" si="6"/>
        <v>190.1</v>
      </c>
      <c r="P124">
        <f t="shared" si="7"/>
        <v>230.3</v>
      </c>
      <c r="Q124">
        <f t="shared" si="8"/>
        <v>311.60000000000002</v>
      </c>
      <c r="R124">
        <f t="shared" si="9"/>
        <v>146.4</v>
      </c>
    </row>
    <row r="125" spans="1:18" x14ac:dyDescent="0.2">
      <c r="A125" s="1">
        <v>2020</v>
      </c>
      <c r="B125" s="1">
        <v>35.700000000000003</v>
      </c>
      <c r="C125" s="1">
        <v>67.099999999999994</v>
      </c>
      <c r="D125" s="1">
        <v>39.5</v>
      </c>
      <c r="E125" s="1">
        <v>23.4</v>
      </c>
      <c r="F125" s="1">
        <v>112.1</v>
      </c>
      <c r="G125" s="1">
        <v>160.19999999999999</v>
      </c>
      <c r="H125" s="1">
        <v>126.7</v>
      </c>
      <c r="I125" s="1">
        <v>145.80000000000001</v>
      </c>
      <c r="J125" s="1">
        <v>37.6</v>
      </c>
      <c r="K125" s="1">
        <v>79.8</v>
      </c>
      <c r="L125" s="1">
        <v>29.8</v>
      </c>
      <c r="M125" s="1">
        <v>70.8</v>
      </c>
      <c r="N125" s="1">
        <v>928.5</v>
      </c>
      <c r="P125">
        <f t="shared" si="7"/>
        <v>175</v>
      </c>
      <c r="Q125">
        <f t="shared" si="8"/>
        <v>432.7</v>
      </c>
      <c r="R125">
        <f t="shared" si="9"/>
        <v>147.20000000000002</v>
      </c>
    </row>
    <row r="126" spans="1:18" x14ac:dyDescent="0.2">
      <c r="N126" s="21">
        <f>AVERAGE(N66:N125)</f>
        <v>908.05597611496682</v>
      </c>
      <c r="O126" s="21">
        <f t="shared" ref="O126:R126" si="10">AVERAGE(O66:O125)</f>
        <v>184.47009350211528</v>
      </c>
      <c r="P126" s="21">
        <f t="shared" si="10"/>
        <v>230.83170337153209</v>
      </c>
      <c r="Q126" s="21">
        <f t="shared" si="10"/>
        <v>284.4630163441837</v>
      </c>
      <c r="R126" s="21">
        <f t="shared" si="10"/>
        <v>208.87733112217086</v>
      </c>
    </row>
    <row r="128" spans="1:18" x14ac:dyDescent="0.2">
      <c r="A128" s="1" t="s">
        <v>32</v>
      </c>
      <c r="B128" s="1" t="s">
        <v>17</v>
      </c>
      <c r="C128" s="1" t="s">
        <v>18</v>
      </c>
      <c r="D128" s="1" t="s">
        <v>19</v>
      </c>
      <c r="E128" s="1" t="s">
        <v>20</v>
      </c>
      <c r="F128" s="1" t="s">
        <v>21</v>
      </c>
      <c r="G128" s="1" t="s">
        <v>22</v>
      </c>
      <c r="H128" s="1" t="s">
        <v>23</v>
      </c>
      <c r="I128" s="1" t="s">
        <v>24</v>
      </c>
      <c r="J128" s="1" t="s">
        <v>25</v>
      </c>
      <c r="K128" s="1" t="s">
        <v>26</v>
      </c>
      <c r="L128" s="1" t="s">
        <v>27</v>
      </c>
      <c r="M128" s="1" t="s">
        <v>28</v>
      </c>
      <c r="N128" s="1" t="s">
        <v>29</v>
      </c>
      <c r="O128" s="3" t="s">
        <v>13</v>
      </c>
      <c r="P128" s="3" t="s">
        <v>14</v>
      </c>
      <c r="Q128" s="3" t="s">
        <v>15</v>
      </c>
      <c r="R128" s="3" t="s">
        <v>16</v>
      </c>
    </row>
    <row r="129" spans="1:18" x14ac:dyDescent="0.2">
      <c r="A129" s="1">
        <v>1961</v>
      </c>
      <c r="B129" s="1">
        <v>26</v>
      </c>
      <c r="C129" s="1">
        <v>52</v>
      </c>
      <c r="D129" s="1">
        <v>21</v>
      </c>
      <c r="E129" s="1">
        <v>51</v>
      </c>
      <c r="F129" s="1">
        <v>118</v>
      </c>
      <c r="G129" s="1">
        <v>38</v>
      </c>
      <c r="H129" s="1">
        <v>68</v>
      </c>
      <c r="I129" s="1">
        <v>28</v>
      </c>
      <c r="J129" s="1">
        <v>14</v>
      </c>
      <c r="K129" s="1">
        <v>87</v>
      </c>
      <c r="L129" s="1">
        <v>84</v>
      </c>
      <c r="M129" s="1">
        <v>65</v>
      </c>
      <c r="N129" s="1">
        <v>652</v>
      </c>
      <c r="O129">
        <f>SUM(M129,B130,C130)</f>
        <v>160</v>
      </c>
      <c r="P129">
        <f>SUM(D129:F129)</f>
        <v>190</v>
      </c>
      <c r="Q129">
        <f>SUM(G129:I129)</f>
        <v>134</v>
      </c>
      <c r="R129">
        <f>SUM(J129:L129)</f>
        <v>185</v>
      </c>
    </row>
    <row r="130" spans="1:18" x14ac:dyDescent="0.2">
      <c r="A130" s="1">
        <v>1962</v>
      </c>
      <c r="B130" s="1">
        <v>50</v>
      </c>
      <c r="C130" s="1">
        <v>45</v>
      </c>
      <c r="D130" s="1">
        <v>88</v>
      </c>
      <c r="E130" s="1">
        <v>79</v>
      </c>
      <c r="F130" s="1">
        <v>20</v>
      </c>
      <c r="G130" s="1">
        <v>81</v>
      </c>
      <c r="H130" s="1">
        <v>43</v>
      </c>
      <c r="I130" s="1">
        <v>46</v>
      </c>
      <c r="J130" s="1">
        <v>28</v>
      </c>
      <c r="K130" s="1">
        <v>26</v>
      </c>
      <c r="L130" s="1">
        <v>150</v>
      </c>
      <c r="M130" s="1">
        <v>59</v>
      </c>
      <c r="N130" s="1">
        <v>715</v>
      </c>
      <c r="O130">
        <f t="shared" ref="O130:O187" si="11">SUM(M130,B131,C131)</f>
        <v>168</v>
      </c>
      <c r="P130">
        <f t="shared" ref="P130:P188" si="12">SUM(D130:F130)</f>
        <v>187</v>
      </c>
      <c r="Q130">
        <f t="shared" ref="Q130:Q188" si="13">SUM(G130:I130)</f>
        <v>170</v>
      </c>
      <c r="R130">
        <f t="shared" ref="R130:R188" si="14">SUM(J130:L130)</f>
        <v>204</v>
      </c>
    </row>
    <row r="131" spans="1:18" x14ac:dyDescent="0.2">
      <c r="A131" s="1">
        <v>1963</v>
      </c>
      <c r="B131" s="1">
        <v>66</v>
      </c>
      <c r="C131" s="1">
        <v>43</v>
      </c>
      <c r="D131" s="1">
        <v>39</v>
      </c>
      <c r="E131" s="1">
        <v>37</v>
      </c>
      <c r="F131" s="1">
        <v>81</v>
      </c>
      <c r="G131" s="1">
        <v>61</v>
      </c>
      <c r="H131" s="1">
        <v>55</v>
      </c>
      <c r="I131" s="1">
        <v>84</v>
      </c>
      <c r="J131" s="1">
        <v>61</v>
      </c>
      <c r="K131" s="1">
        <v>24</v>
      </c>
      <c r="L131" s="1">
        <v>59</v>
      </c>
      <c r="M131" s="1">
        <v>94</v>
      </c>
      <c r="N131" s="1">
        <v>704</v>
      </c>
      <c r="O131">
        <f t="shared" si="11"/>
        <v>164</v>
      </c>
      <c r="P131">
        <f t="shared" si="12"/>
        <v>157</v>
      </c>
      <c r="Q131">
        <f t="shared" si="13"/>
        <v>200</v>
      </c>
      <c r="R131">
        <f t="shared" si="14"/>
        <v>144</v>
      </c>
    </row>
    <row r="132" spans="1:18" x14ac:dyDescent="0.2">
      <c r="A132" s="1">
        <v>1964</v>
      </c>
      <c r="B132" s="1">
        <v>5</v>
      </c>
      <c r="C132" s="1">
        <v>65</v>
      </c>
      <c r="D132" s="1">
        <v>66</v>
      </c>
      <c r="E132" s="1">
        <v>64</v>
      </c>
      <c r="F132" s="1">
        <v>97</v>
      </c>
      <c r="G132" s="1">
        <v>61</v>
      </c>
      <c r="H132" s="1">
        <v>67</v>
      </c>
      <c r="I132" s="1">
        <v>77</v>
      </c>
      <c r="J132" s="1">
        <v>66</v>
      </c>
      <c r="K132" s="1">
        <v>158</v>
      </c>
      <c r="L132" s="1">
        <v>102</v>
      </c>
      <c r="M132" s="1">
        <v>141</v>
      </c>
      <c r="N132" s="1">
        <v>969</v>
      </c>
      <c r="O132">
        <f t="shared" si="11"/>
        <v>221</v>
      </c>
      <c r="P132">
        <f t="shared" si="12"/>
        <v>227</v>
      </c>
      <c r="Q132">
        <f t="shared" si="13"/>
        <v>205</v>
      </c>
      <c r="R132">
        <f t="shared" si="14"/>
        <v>326</v>
      </c>
    </row>
    <row r="133" spans="1:18" x14ac:dyDescent="0.2">
      <c r="A133" s="1">
        <v>1965</v>
      </c>
      <c r="B133" s="1">
        <v>23</v>
      </c>
      <c r="C133" s="1">
        <v>57</v>
      </c>
      <c r="D133" s="1">
        <v>76</v>
      </c>
      <c r="E133" s="1">
        <v>78</v>
      </c>
      <c r="F133" s="1">
        <v>167</v>
      </c>
      <c r="G133" s="1">
        <v>59</v>
      </c>
      <c r="H133" s="1">
        <v>15</v>
      </c>
      <c r="I133" s="1">
        <v>65</v>
      </c>
      <c r="J133" s="1">
        <v>88</v>
      </c>
      <c r="K133" s="1">
        <v>0</v>
      </c>
      <c r="L133" s="1">
        <v>109</v>
      </c>
      <c r="M133" s="1">
        <v>70</v>
      </c>
      <c r="N133" s="1">
        <v>807</v>
      </c>
      <c r="O133">
        <f t="shared" si="11"/>
        <v>149</v>
      </c>
      <c r="P133">
        <f t="shared" si="12"/>
        <v>321</v>
      </c>
      <c r="Q133">
        <f t="shared" si="13"/>
        <v>139</v>
      </c>
      <c r="R133">
        <f t="shared" si="14"/>
        <v>197</v>
      </c>
    </row>
    <row r="134" spans="1:18" x14ac:dyDescent="0.2">
      <c r="A134" s="1">
        <v>1966</v>
      </c>
      <c r="B134" s="1">
        <v>53</v>
      </c>
      <c r="C134" s="1">
        <v>26</v>
      </c>
      <c r="D134" s="1">
        <v>86</v>
      </c>
      <c r="E134" s="1">
        <v>102</v>
      </c>
      <c r="F134" s="1">
        <v>84</v>
      </c>
      <c r="G134" s="1">
        <v>92</v>
      </c>
      <c r="H134" s="1">
        <v>64</v>
      </c>
      <c r="I134" s="1">
        <v>47</v>
      </c>
      <c r="J134" s="1">
        <v>23</v>
      </c>
      <c r="K134" s="1">
        <v>69</v>
      </c>
      <c r="L134" s="1">
        <v>80</v>
      </c>
      <c r="M134" s="1">
        <v>92</v>
      </c>
      <c r="N134" s="1">
        <v>818</v>
      </c>
      <c r="O134">
        <f t="shared" si="11"/>
        <v>173</v>
      </c>
      <c r="P134">
        <f t="shared" si="12"/>
        <v>272</v>
      </c>
      <c r="Q134">
        <f t="shared" si="13"/>
        <v>203</v>
      </c>
      <c r="R134">
        <f t="shared" si="14"/>
        <v>172</v>
      </c>
    </row>
    <row r="135" spans="1:18" x14ac:dyDescent="0.2">
      <c r="A135" s="1">
        <v>1967</v>
      </c>
      <c r="B135" s="1">
        <v>65</v>
      </c>
      <c r="C135" s="1">
        <v>16</v>
      </c>
      <c r="D135" s="1">
        <v>78</v>
      </c>
      <c r="E135" s="1">
        <v>85</v>
      </c>
      <c r="F135" s="1">
        <v>41</v>
      </c>
      <c r="G135" s="1">
        <v>79</v>
      </c>
      <c r="H135" s="1">
        <v>118</v>
      </c>
      <c r="I135" s="1">
        <v>25</v>
      </c>
      <c r="J135" s="1">
        <v>63</v>
      </c>
      <c r="K135" s="1">
        <v>44</v>
      </c>
      <c r="L135" s="1">
        <v>50</v>
      </c>
      <c r="M135" s="1">
        <v>135</v>
      </c>
      <c r="N135" s="1">
        <v>799</v>
      </c>
      <c r="O135">
        <f t="shared" si="11"/>
        <v>296</v>
      </c>
      <c r="P135">
        <f t="shared" si="12"/>
        <v>204</v>
      </c>
      <c r="Q135">
        <f t="shared" si="13"/>
        <v>222</v>
      </c>
      <c r="R135">
        <f t="shared" si="14"/>
        <v>157</v>
      </c>
    </row>
    <row r="136" spans="1:18" x14ac:dyDescent="0.2">
      <c r="A136" s="1">
        <v>1968</v>
      </c>
      <c r="B136" s="1">
        <v>136</v>
      </c>
      <c r="C136" s="1">
        <v>25</v>
      </c>
      <c r="D136" s="1">
        <v>24</v>
      </c>
      <c r="E136" s="1">
        <v>19</v>
      </c>
      <c r="F136" s="1">
        <v>55</v>
      </c>
      <c r="G136" s="1">
        <v>122</v>
      </c>
      <c r="H136" s="1">
        <v>62</v>
      </c>
      <c r="I136" s="1">
        <v>99</v>
      </c>
      <c r="J136" s="1">
        <v>97</v>
      </c>
      <c r="K136" s="1">
        <v>51</v>
      </c>
      <c r="L136" s="1">
        <v>114</v>
      </c>
      <c r="M136" s="1">
        <v>90</v>
      </c>
      <c r="N136" s="1">
        <v>894</v>
      </c>
      <c r="O136">
        <f t="shared" si="11"/>
        <v>230</v>
      </c>
      <c r="P136">
        <f t="shared" si="12"/>
        <v>98</v>
      </c>
      <c r="Q136">
        <f t="shared" si="13"/>
        <v>283</v>
      </c>
      <c r="R136">
        <f t="shared" si="14"/>
        <v>262</v>
      </c>
    </row>
    <row r="137" spans="1:18" x14ac:dyDescent="0.2">
      <c r="A137" s="1">
        <v>1969</v>
      </c>
      <c r="B137" s="1">
        <v>28</v>
      </c>
      <c r="C137" s="1">
        <v>112</v>
      </c>
      <c r="D137" s="1">
        <v>35</v>
      </c>
      <c r="E137" s="1">
        <v>64</v>
      </c>
      <c r="F137" s="1">
        <v>39</v>
      </c>
      <c r="G137" s="1">
        <v>169</v>
      </c>
      <c r="H137" s="1">
        <v>100</v>
      </c>
      <c r="I137" s="1">
        <v>103</v>
      </c>
      <c r="J137" s="1">
        <v>136</v>
      </c>
      <c r="K137" s="1">
        <v>4</v>
      </c>
      <c r="L137" s="1">
        <v>68</v>
      </c>
      <c r="M137" s="1">
        <v>132</v>
      </c>
      <c r="N137" s="1">
        <v>990</v>
      </c>
      <c r="O137">
        <f t="shared" si="11"/>
        <v>357</v>
      </c>
      <c r="P137">
        <f t="shared" si="12"/>
        <v>138</v>
      </c>
      <c r="Q137">
        <f t="shared" si="13"/>
        <v>372</v>
      </c>
      <c r="R137">
        <f t="shared" si="14"/>
        <v>208</v>
      </c>
    </row>
    <row r="138" spans="1:18" x14ac:dyDescent="0.2">
      <c r="A138" s="1">
        <v>1970</v>
      </c>
      <c r="B138" s="1">
        <v>115</v>
      </c>
      <c r="C138" s="1">
        <v>110</v>
      </c>
      <c r="D138" s="1">
        <v>71</v>
      </c>
      <c r="E138" s="1">
        <v>55</v>
      </c>
      <c r="F138" s="1">
        <v>100</v>
      </c>
      <c r="G138" s="1">
        <v>64</v>
      </c>
      <c r="H138" s="1">
        <v>44</v>
      </c>
      <c r="I138" s="1">
        <v>45</v>
      </c>
      <c r="J138" s="1">
        <v>13</v>
      </c>
      <c r="K138" s="1">
        <v>83</v>
      </c>
      <c r="L138" s="1">
        <v>58</v>
      </c>
      <c r="M138" s="1">
        <v>48</v>
      </c>
      <c r="N138" s="1">
        <v>806</v>
      </c>
      <c r="O138">
        <f t="shared" si="11"/>
        <v>152</v>
      </c>
      <c r="P138">
        <f t="shared" si="12"/>
        <v>226</v>
      </c>
      <c r="Q138">
        <f t="shared" si="13"/>
        <v>153</v>
      </c>
      <c r="R138">
        <f t="shared" si="14"/>
        <v>154</v>
      </c>
    </row>
    <row r="139" spans="1:18" x14ac:dyDescent="0.2">
      <c r="A139" s="1">
        <v>1971</v>
      </c>
      <c r="B139" s="1">
        <v>67</v>
      </c>
      <c r="C139" s="1">
        <v>37</v>
      </c>
      <c r="D139" s="1">
        <v>54</v>
      </c>
      <c r="E139" s="1">
        <v>19</v>
      </c>
      <c r="F139" s="1">
        <v>51</v>
      </c>
      <c r="G139" s="1">
        <v>52</v>
      </c>
      <c r="H139" s="1">
        <v>28</v>
      </c>
      <c r="I139" s="1">
        <v>21</v>
      </c>
      <c r="J139" s="1">
        <v>98</v>
      </c>
      <c r="K139" s="1">
        <v>88</v>
      </c>
      <c r="L139" s="1">
        <v>88</v>
      </c>
      <c r="M139" s="1">
        <v>29</v>
      </c>
      <c r="N139" s="1">
        <v>632</v>
      </c>
      <c r="O139">
        <f t="shared" si="11"/>
        <v>68</v>
      </c>
      <c r="P139">
        <f t="shared" si="12"/>
        <v>124</v>
      </c>
      <c r="Q139">
        <f t="shared" si="13"/>
        <v>101</v>
      </c>
      <c r="R139">
        <f t="shared" si="14"/>
        <v>274</v>
      </c>
    </row>
    <row r="140" spans="1:18" x14ac:dyDescent="0.2">
      <c r="A140" s="1">
        <v>1972</v>
      </c>
      <c r="B140" s="1">
        <v>17</v>
      </c>
      <c r="C140" s="1">
        <v>22</v>
      </c>
      <c r="D140" s="1">
        <v>15</v>
      </c>
      <c r="E140" s="1">
        <v>80</v>
      </c>
      <c r="F140" s="1">
        <v>108</v>
      </c>
      <c r="G140" s="1">
        <v>20</v>
      </c>
      <c r="H140" s="1">
        <v>168</v>
      </c>
      <c r="I140" s="1">
        <v>241</v>
      </c>
      <c r="J140" s="1">
        <v>53</v>
      </c>
      <c r="K140" s="1">
        <v>60</v>
      </c>
      <c r="L140" s="1">
        <v>95</v>
      </c>
      <c r="M140" s="1">
        <v>3</v>
      </c>
      <c r="N140" s="1">
        <v>882</v>
      </c>
      <c r="O140">
        <f t="shared" si="11"/>
        <v>96</v>
      </c>
      <c r="P140">
        <f t="shared" si="12"/>
        <v>203</v>
      </c>
      <c r="Q140">
        <f t="shared" si="13"/>
        <v>429</v>
      </c>
      <c r="R140">
        <f t="shared" si="14"/>
        <v>208</v>
      </c>
    </row>
    <row r="141" spans="1:18" x14ac:dyDescent="0.2">
      <c r="A141" s="1">
        <v>1973</v>
      </c>
      <c r="B141" s="1">
        <v>26</v>
      </c>
      <c r="C141" s="1">
        <v>67</v>
      </c>
      <c r="D141" s="1">
        <v>36</v>
      </c>
      <c r="E141" s="1">
        <v>83</v>
      </c>
      <c r="F141" s="1">
        <v>23</v>
      </c>
      <c r="G141" s="1">
        <v>52</v>
      </c>
      <c r="H141" s="1">
        <v>65</v>
      </c>
      <c r="I141" s="1">
        <v>81</v>
      </c>
      <c r="J141" s="1">
        <v>87</v>
      </c>
      <c r="K141" s="1">
        <v>52</v>
      </c>
      <c r="L141" s="1">
        <v>54</v>
      </c>
      <c r="M141" s="1">
        <v>62</v>
      </c>
      <c r="N141" s="1">
        <v>688</v>
      </c>
      <c r="O141">
        <f t="shared" si="11"/>
        <v>186</v>
      </c>
      <c r="P141">
        <f t="shared" si="12"/>
        <v>142</v>
      </c>
      <c r="Q141">
        <f t="shared" si="13"/>
        <v>198</v>
      </c>
      <c r="R141">
        <f t="shared" si="14"/>
        <v>193</v>
      </c>
    </row>
    <row r="142" spans="1:18" x14ac:dyDescent="0.2">
      <c r="A142" s="1">
        <v>1974</v>
      </c>
      <c r="B142" s="1">
        <v>72</v>
      </c>
      <c r="C142" s="1">
        <v>52</v>
      </c>
      <c r="D142" s="1">
        <v>24</v>
      </c>
      <c r="E142" s="1">
        <v>56</v>
      </c>
      <c r="F142" s="1">
        <v>109</v>
      </c>
      <c r="G142" s="1">
        <v>100</v>
      </c>
      <c r="H142" s="1">
        <v>72</v>
      </c>
      <c r="I142" s="1">
        <v>51</v>
      </c>
      <c r="J142" s="1">
        <v>54</v>
      </c>
      <c r="K142" s="1">
        <v>191</v>
      </c>
      <c r="L142" s="1">
        <v>56</v>
      </c>
      <c r="M142" s="1">
        <v>54</v>
      </c>
      <c r="N142" s="1">
        <v>891</v>
      </c>
      <c r="O142">
        <f t="shared" si="11"/>
        <v>93</v>
      </c>
      <c r="P142">
        <f t="shared" si="12"/>
        <v>189</v>
      </c>
      <c r="Q142">
        <f t="shared" si="13"/>
        <v>223</v>
      </c>
      <c r="R142">
        <f t="shared" si="14"/>
        <v>301</v>
      </c>
    </row>
    <row r="143" spans="1:18" x14ac:dyDescent="0.2">
      <c r="A143" s="1">
        <v>1975</v>
      </c>
      <c r="B143" s="1">
        <v>31</v>
      </c>
      <c r="C143" s="1">
        <v>8</v>
      </c>
      <c r="D143" s="1">
        <v>66</v>
      </c>
      <c r="E143" s="1">
        <v>56</v>
      </c>
      <c r="F143" s="1">
        <v>80</v>
      </c>
      <c r="G143" s="1">
        <v>138</v>
      </c>
      <c r="H143" s="1">
        <v>46</v>
      </c>
      <c r="I143" s="1">
        <v>83</v>
      </c>
      <c r="J143" s="1">
        <v>42</v>
      </c>
      <c r="K143" s="1">
        <v>90</v>
      </c>
      <c r="L143" s="1">
        <v>45</v>
      </c>
      <c r="M143" s="1">
        <v>27</v>
      </c>
      <c r="N143" s="1">
        <v>712</v>
      </c>
      <c r="O143">
        <f t="shared" si="11"/>
        <v>104</v>
      </c>
      <c r="P143">
        <f t="shared" si="12"/>
        <v>202</v>
      </c>
      <c r="Q143">
        <f t="shared" si="13"/>
        <v>267</v>
      </c>
      <c r="R143">
        <f t="shared" si="14"/>
        <v>177</v>
      </c>
    </row>
    <row r="144" spans="1:18" x14ac:dyDescent="0.2">
      <c r="A144" s="1">
        <v>1976</v>
      </c>
      <c r="B144" s="1">
        <v>61</v>
      </c>
      <c r="C144" s="1">
        <v>16</v>
      </c>
      <c r="D144" s="1">
        <v>30</v>
      </c>
      <c r="E144" s="1">
        <v>71</v>
      </c>
      <c r="F144" s="1">
        <v>65</v>
      </c>
      <c r="G144" s="1">
        <v>91</v>
      </c>
      <c r="H144" s="1">
        <v>64</v>
      </c>
      <c r="I144" s="1">
        <v>82</v>
      </c>
      <c r="J144" s="1">
        <v>88</v>
      </c>
      <c r="K144" s="1">
        <v>80</v>
      </c>
      <c r="L144" s="1">
        <v>74</v>
      </c>
      <c r="M144" s="1">
        <v>102</v>
      </c>
      <c r="N144" s="1">
        <v>824</v>
      </c>
      <c r="O144">
        <f t="shared" si="11"/>
        <v>203</v>
      </c>
      <c r="P144">
        <f t="shared" si="12"/>
        <v>166</v>
      </c>
      <c r="Q144">
        <f t="shared" si="13"/>
        <v>237</v>
      </c>
      <c r="R144">
        <f t="shared" si="14"/>
        <v>242</v>
      </c>
    </row>
    <row r="145" spans="1:18" x14ac:dyDescent="0.2">
      <c r="A145" s="1">
        <v>1977</v>
      </c>
      <c r="B145" s="1">
        <v>46</v>
      </c>
      <c r="C145" s="1">
        <v>55</v>
      </c>
      <c r="D145" s="1">
        <v>44</v>
      </c>
      <c r="E145" s="1">
        <v>78</v>
      </c>
      <c r="F145" s="1">
        <v>42</v>
      </c>
      <c r="G145" s="1">
        <v>22</v>
      </c>
      <c r="H145" s="1">
        <v>116</v>
      </c>
      <c r="I145" s="1">
        <v>96</v>
      </c>
      <c r="J145" s="1">
        <v>72</v>
      </c>
      <c r="K145" s="1">
        <v>84</v>
      </c>
      <c r="L145" s="1">
        <v>107</v>
      </c>
      <c r="M145" s="1">
        <v>57</v>
      </c>
      <c r="N145" s="1">
        <v>819</v>
      </c>
      <c r="O145">
        <f t="shared" si="11"/>
        <v>194</v>
      </c>
      <c r="P145">
        <f t="shared" si="12"/>
        <v>164</v>
      </c>
      <c r="Q145">
        <f t="shared" si="13"/>
        <v>234</v>
      </c>
      <c r="R145">
        <f t="shared" si="14"/>
        <v>263</v>
      </c>
    </row>
    <row r="146" spans="1:18" x14ac:dyDescent="0.2">
      <c r="A146" s="1">
        <v>1978</v>
      </c>
      <c r="B146" s="1">
        <v>64</v>
      </c>
      <c r="C146" s="1">
        <v>73</v>
      </c>
      <c r="D146" s="1">
        <v>62</v>
      </c>
      <c r="E146" s="1">
        <v>78</v>
      </c>
      <c r="F146" s="1">
        <v>181</v>
      </c>
      <c r="G146" s="1">
        <v>139</v>
      </c>
      <c r="H146" s="1">
        <v>54</v>
      </c>
      <c r="I146" s="1">
        <v>32</v>
      </c>
      <c r="J146" s="1">
        <v>194</v>
      </c>
      <c r="K146" s="1">
        <v>31</v>
      </c>
      <c r="L146" s="1">
        <v>12</v>
      </c>
      <c r="M146" s="1">
        <v>91</v>
      </c>
      <c r="N146" s="1">
        <v>1011</v>
      </c>
      <c r="O146">
        <f t="shared" si="11"/>
        <v>230</v>
      </c>
      <c r="P146">
        <f t="shared" si="12"/>
        <v>321</v>
      </c>
      <c r="Q146">
        <f t="shared" si="13"/>
        <v>225</v>
      </c>
      <c r="R146">
        <f t="shared" si="14"/>
        <v>237</v>
      </c>
    </row>
    <row r="147" spans="1:18" x14ac:dyDescent="0.2">
      <c r="A147" s="1">
        <v>1979</v>
      </c>
      <c r="B147" s="1">
        <v>83</v>
      </c>
      <c r="C147" s="1">
        <v>56</v>
      </c>
      <c r="D147" s="1">
        <v>28</v>
      </c>
      <c r="E147" s="1">
        <v>54</v>
      </c>
      <c r="F147" s="1">
        <v>46</v>
      </c>
      <c r="G147" s="1">
        <v>92</v>
      </c>
      <c r="H147" s="1">
        <v>59</v>
      </c>
      <c r="I147" s="1">
        <v>45</v>
      </c>
      <c r="J147" s="1">
        <v>72</v>
      </c>
      <c r="K147" s="1">
        <v>100</v>
      </c>
      <c r="L147" s="1">
        <v>72</v>
      </c>
      <c r="M147" s="1">
        <v>82</v>
      </c>
      <c r="N147" s="1">
        <v>789</v>
      </c>
      <c r="O147">
        <f t="shared" si="11"/>
        <v>190</v>
      </c>
      <c r="P147">
        <f t="shared" si="12"/>
        <v>128</v>
      </c>
      <c r="Q147">
        <f t="shared" si="13"/>
        <v>196</v>
      </c>
      <c r="R147">
        <f t="shared" si="14"/>
        <v>244</v>
      </c>
    </row>
    <row r="148" spans="1:18" x14ac:dyDescent="0.2">
      <c r="A148" s="1">
        <v>1980</v>
      </c>
      <c r="B148" s="1">
        <v>72</v>
      </c>
      <c r="C148" s="1">
        <v>36</v>
      </c>
      <c r="D148" s="1">
        <v>54</v>
      </c>
      <c r="E148" s="1">
        <v>69</v>
      </c>
      <c r="F148" s="1">
        <v>142</v>
      </c>
      <c r="G148" s="1">
        <v>79</v>
      </c>
      <c r="H148" s="1">
        <v>33</v>
      </c>
      <c r="I148" s="1">
        <v>21</v>
      </c>
      <c r="J148" s="1">
        <v>54</v>
      </c>
      <c r="K148" s="1">
        <v>67</v>
      </c>
      <c r="L148" s="1">
        <v>110</v>
      </c>
      <c r="M148" s="1">
        <v>75</v>
      </c>
      <c r="N148" s="1">
        <v>812</v>
      </c>
      <c r="O148">
        <f t="shared" si="11"/>
        <v>160</v>
      </c>
      <c r="P148">
        <f t="shared" si="12"/>
        <v>265</v>
      </c>
      <c r="Q148">
        <f t="shared" si="13"/>
        <v>133</v>
      </c>
      <c r="R148">
        <f t="shared" si="14"/>
        <v>231</v>
      </c>
    </row>
    <row r="149" spans="1:18" x14ac:dyDescent="0.2">
      <c r="A149" s="1">
        <v>1981</v>
      </c>
      <c r="B149" s="1">
        <v>59</v>
      </c>
      <c r="C149" s="1">
        <v>26</v>
      </c>
      <c r="D149" s="1">
        <v>103</v>
      </c>
      <c r="E149" s="1">
        <v>40</v>
      </c>
      <c r="F149" s="1">
        <v>80</v>
      </c>
      <c r="G149" s="1">
        <v>110</v>
      </c>
      <c r="H149" s="1">
        <v>18</v>
      </c>
      <c r="I149" s="1">
        <v>51</v>
      </c>
      <c r="J149" s="1">
        <v>70</v>
      </c>
      <c r="K149" s="1">
        <v>69</v>
      </c>
      <c r="L149" s="1">
        <v>59</v>
      </c>
      <c r="M149" s="1">
        <v>92</v>
      </c>
      <c r="N149" s="1">
        <v>777</v>
      </c>
      <c r="O149">
        <f t="shared" si="11"/>
        <v>121</v>
      </c>
      <c r="P149">
        <f t="shared" si="12"/>
        <v>223</v>
      </c>
      <c r="Q149">
        <f t="shared" si="13"/>
        <v>179</v>
      </c>
      <c r="R149">
        <f t="shared" si="14"/>
        <v>198</v>
      </c>
    </row>
    <row r="150" spans="1:18" x14ac:dyDescent="0.2">
      <c r="A150" s="1">
        <v>1982</v>
      </c>
      <c r="B150" s="1">
        <v>23</v>
      </c>
      <c r="C150" s="1">
        <v>6</v>
      </c>
      <c r="D150" s="1">
        <v>100</v>
      </c>
      <c r="E150" s="1">
        <v>53</v>
      </c>
      <c r="F150" s="1">
        <v>74</v>
      </c>
      <c r="G150" s="1">
        <v>72</v>
      </c>
      <c r="H150" s="1">
        <v>49</v>
      </c>
      <c r="I150" s="1">
        <v>106</v>
      </c>
      <c r="J150" s="1">
        <v>12</v>
      </c>
      <c r="K150" s="1">
        <v>120</v>
      </c>
      <c r="L150" s="1">
        <v>23</v>
      </c>
      <c r="M150" s="1">
        <v>108</v>
      </c>
      <c r="N150" s="1">
        <v>746</v>
      </c>
      <c r="O150">
        <f t="shared" si="11"/>
        <v>246</v>
      </c>
      <c r="P150">
        <f t="shared" si="12"/>
        <v>227</v>
      </c>
      <c r="Q150">
        <f t="shared" si="13"/>
        <v>227</v>
      </c>
      <c r="R150">
        <f t="shared" si="14"/>
        <v>155</v>
      </c>
    </row>
    <row r="151" spans="1:18" x14ac:dyDescent="0.2">
      <c r="A151" s="1">
        <v>1983</v>
      </c>
      <c r="B151" s="1">
        <v>27</v>
      </c>
      <c r="C151" s="1">
        <v>111</v>
      </c>
      <c r="D151" s="1">
        <v>29</v>
      </c>
      <c r="E151" s="1">
        <v>34</v>
      </c>
      <c r="F151" s="1">
        <v>35</v>
      </c>
      <c r="G151" s="1">
        <v>67</v>
      </c>
      <c r="H151" s="1">
        <v>55</v>
      </c>
      <c r="I151" s="1">
        <v>44</v>
      </c>
      <c r="J151" s="1">
        <v>100</v>
      </c>
      <c r="K151" s="1">
        <v>43</v>
      </c>
      <c r="L151" s="1">
        <v>48</v>
      </c>
      <c r="M151" s="1">
        <v>43</v>
      </c>
      <c r="N151" s="1">
        <v>636</v>
      </c>
      <c r="O151">
        <f t="shared" si="11"/>
        <v>178</v>
      </c>
      <c r="P151">
        <f t="shared" si="12"/>
        <v>98</v>
      </c>
      <c r="Q151">
        <f t="shared" si="13"/>
        <v>166</v>
      </c>
      <c r="R151">
        <f t="shared" si="14"/>
        <v>191</v>
      </c>
    </row>
    <row r="152" spans="1:18" x14ac:dyDescent="0.2">
      <c r="A152" s="1">
        <v>1984</v>
      </c>
      <c r="B152" s="1">
        <v>73</v>
      </c>
      <c r="C152" s="1">
        <v>62</v>
      </c>
      <c r="D152" s="1">
        <v>57</v>
      </c>
      <c r="E152" s="1">
        <v>80</v>
      </c>
      <c r="F152" s="1">
        <v>72</v>
      </c>
      <c r="G152" s="1">
        <v>90</v>
      </c>
      <c r="H152" s="1">
        <v>88</v>
      </c>
      <c r="I152" s="1">
        <v>90</v>
      </c>
      <c r="J152" s="1">
        <v>65</v>
      </c>
      <c r="K152" s="1">
        <v>51</v>
      </c>
      <c r="L152" s="1">
        <v>38</v>
      </c>
      <c r="M152" s="1">
        <v>8</v>
      </c>
      <c r="N152" s="1">
        <v>774</v>
      </c>
      <c r="O152">
        <f t="shared" si="11"/>
        <v>110</v>
      </c>
      <c r="P152">
        <f t="shared" si="12"/>
        <v>209</v>
      </c>
      <c r="Q152">
        <f t="shared" si="13"/>
        <v>268</v>
      </c>
      <c r="R152">
        <f t="shared" si="14"/>
        <v>154</v>
      </c>
    </row>
    <row r="153" spans="1:18" x14ac:dyDescent="0.2">
      <c r="A153" s="1">
        <v>1985</v>
      </c>
      <c r="B153" s="1">
        <v>60</v>
      </c>
      <c r="C153" s="1">
        <v>42</v>
      </c>
      <c r="D153" s="1">
        <v>59</v>
      </c>
      <c r="E153" s="1">
        <v>103</v>
      </c>
      <c r="F153" s="1">
        <v>75</v>
      </c>
      <c r="G153" s="1">
        <v>116</v>
      </c>
      <c r="H153" s="1">
        <v>26</v>
      </c>
      <c r="I153" s="1">
        <v>115</v>
      </c>
      <c r="J153" s="1">
        <v>38</v>
      </c>
      <c r="K153" s="1">
        <v>40</v>
      </c>
      <c r="L153" s="1">
        <v>109</v>
      </c>
      <c r="M153" s="1">
        <v>44</v>
      </c>
      <c r="N153" s="1">
        <v>827</v>
      </c>
      <c r="O153">
        <f t="shared" si="11"/>
        <v>173</v>
      </c>
      <c r="P153">
        <f t="shared" si="12"/>
        <v>237</v>
      </c>
      <c r="Q153">
        <f t="shared" si="13"/>
        <v>257</v>
      </c>
      <c r="R153">
        <f t="shared" si="14"/>
        <v>187</v>
      </c>
    </row>
    <row r="154" spans="1:18" x14ac:dyDescent="0.2">
      <c r="A154" s="1">
        <v>1986</v>
      </c>
      <c r="B154" s="1">
        <v>47</v>
      </c>
      <c r="C154" s="1">
        <v>82</v>
      </c>
      <c r="D154" s="1">
        <v>54</v>
      </c>
      <c r="E154" s="1">
        <v>69</v>
      </c>
      <c r="F154" s="1">
        <v>67</v>
      </c>
      <c r="G154" s="1">
        <v>149</v>
      </c>
      <c r="H154" s="1">
        <v>149</v>
      </c>
      <c r="I154" s="1">
        <v>75</v>
      </c>
      <c r="J154" s="1">
        <v>13</v>
      </c>
      <c r="K154" s="1">
        <v>80</v>
      </c>
      <c r="L154" s="1">
        <v>30</v>
      </c>
      <c r="M154" s="1">
        <v>46</v>
      </c>
      <c r="N154" s="1">
        <v>861</v>
      </c>
      <c r="O154">
        <f t="shared" si="11"/>
        <v>148</v>
      </c>
      <c r="P154">
        <f t="shared" si="12"/>
        <v>190</v>
      </c>
      <c r="Q154">
        <f t="shared" si="13"/>
        <v>373</v>
      </c>
      <c r="R154">
        <f t="shared" si="14"/>
        <v>123</v>
      </c>
    </row>
    <row r="155" spans="1:18" x14ac:dyDescent="0.2">
      <c r="A155" s="1">
        <v>1987</v>
      </c>
      <c r="B155" s="1">
        <v>78</v>
      </c>
      <c r="C155" s="1">
        <v>24</v>
      </c>
      <c r="D155" s="1">
        <v>55</v>
      </c>
      <c r="E155" s="1">
        <v>55</v>
      </c>
      <c r="F155" s="1">
        <v>120</v>
      </c>
      <c r="G155" s="1">
        <v>32</v>
      </c>
      <c r="H155" s="1">
        <v>25</v>
      </c>
      <c r="I155" s="1">
        <v>61</v>
      </c>
      <c r="J155" s="1">
        <v>36</v>
      </c>
      <c r="K155" s="1">
        <v>31</v>
      </c>
      <c r="L155" s="1">
        <v>133</v>
      </c>
      <c r="M155" s="1">
        <v>50</v>
      </c>
      <c r="N155" s="1">
        <v>700</v>
      </c>
      <c r="O155">
        <f t="shared" si="11"/>
        <v>146</v>
      </c>
      <c r="P155">
        <f t="shared" si="12"/>
        <v>230</v>
      </c>
      <c r="Q155">
        <f t="shared" si="13"/>
        <v>118</v>
      </c>
      <c r="R155">
        <f t="shared" si="14"/>
        <v>200</v>
      </c>
    </row>
    <row r="156" spans="1:18" x14ac:dyDescent="0.2">
      <c r="A156" s="1">
        <v>1988</v>
      </c>
      <c r="B156" s="1">
        <v>43</v>
      </c>
      <c r="C156" s="1">
        <v>53</v>
      </c>
      <c r="D156" s="1">
        <v>100</v>
      </c>
      <c r="E156" s="1">
        <v>66</v>
      </c>
      <c r="F156" s="1">
        <v>26</v>
      </c>
      <c r="G156" s="1">
        <v>105</v>
      </c>
      <c r="H156" s="1">
        <v>4</v>
      </c>
      <c r="I156" s="1">
        <v>22</v>
      </c>
      <c r="J156" s="1">
        <v>92</v>
      </c>
      <c r="K156" s="1">
        <v>42</v>
      </c>
      <c r="L156" s="1">
        <v>44</v>
      </c>
      <c r="M156" s="1">
        <v>64</v>
      </c>
      <c r="N156" s="1">
        <v>661</v>
      </c>
      <c r="O156">
        <f t="shared" si="11"/>
        <v>110</v>
      </c>
      <c r="P156">
        <f t="shared" si="12"/>
        <v>192</v>
      </c>
      <c r="Q156">
        <f t="shared" si="13"/>
        <v>131</v>
      </c>
      <c r="R156">
        <f t="shared" si="14"/>
        <v>178</v>
      </c>
    </row>
    <row r="157" spans="1:18" x14ac:dyDescent="0.2">
      <c r="A157" s="1">
        <v>1989</v>
      </c>
      <c r="B157" s="1">
        <v>17</v>
      </c>
      <c r="C157" s="1">
        <v>29</v>
      </c>
      <c r="D157" s="1">
        <v>34</v>
      </c>
      <c r="E157" s="1">
        <v>56</v>
      </c>
      <c r="F157" s="1">
        <v>64</v>
      </c>
      <c r="G157" s="1">
        <v>123</v>
      </c>
      <c r="H157" s="1">
        <v>130</v>
      </c>
      <c r="I157" s="1">
        <v>100</v>
      </c>
      <c r="J157" s="1">
        <v>65</v>
      </c>
      <c r="K157" s="1">
        <v>82</v>
      </c>
      <c r="L157" s="1">
        <v>44</v>
      </c>
      <c r="M157" s="1">
        <v>5</v>
      </c>
      <c r="N157" s="1">
        <v>749</v>
      </c>
      <c r="O157">
        <f t="shared" si="11"/>
        <v>36</v>
      </c>
      <c r="P157">
        <f t="shared" si="12"/>
        <v>154</v>
      </c>
      <c r="Q157">
        <f t="shared" si="13"/>
        <v>353</v>
      </c>
      <c r="R157">
        <f t="shared" si="14"/>
        <v>191</v>
      </c>
    </row>
    <row r="158" spans="1:18" x14ac:dyDescent="0.2">
      <c r="A158" s="1">
        <v>1990</v>
      </c>
      <c r="B158" s="5">
        <v>11</v>
      </c>
      <c r="C158" s="5">
        <v>20</v>
      </c>
      <c r="D158" s="5">
        <v>40</v>
      </c>
      <c r="E158" s="5">
        <v>45</v>
      </c>
      <c r="F158" s="5">
        <v>18</v>
      </c>
      <c r="G158" s="5">
        <v>59</v>
      </c>
      <c r="H158" s="5">
        <v>22</v>
      </c>
      <c r="I158" s="5">
        <v>37</v>
      </c>
      <c r="J158" s="5">
        <v>54</v>
      </c>
      <c r="K158" s="5">
        <v>55</v>
      </c>
      <c r="L158" s="5">
        <v>119</v>
      </c>
      <c r="M158" s="5">
        <v>62</v>
      </c>
      <c r="N158" s="5">
        <v>542</v>
      </c>
      <c r="O158">
        <f t="shared" si="11"/>
        <v>141.4795592600575</v>
      </c>
      <c r="P158">
        <f t="shared" si="12"/>
        <v>103</v>
      </c>
      <c r="Q158">
        <f t="shared" si="13"/>
        <v>118</v>
      </c>
      <c r="R158">
        <f t="shared" si="14"/>
        <v>228</v>
      </c>
    </row>
    <row r="159" spans="1:18" x14ac:dyDescent="0.2">
      <c r="A159" s="1">
        <v>1991</v>
      </c>
      <c r="B159" s="6">
        <v>22.025711419671605</v>
      </c>
      <c r="C159" s="6">
        <v>57.453847840385883</v>
      </c>
      <c r="D159" s="6">
        <v>31.049149022252195</v>
      </c>
      <c r="E159" s="6">
        <v>72.929190211553745</v>
      </c>
      <c r="F159" s="6">
        <v>100.69198365157975</v>
      </c>
      <c r="G159" s="6">
        <v>63.57189930789486</v>
      </c>
      <c r="H159" s="6">
        <v>119.47703858086831</v>
      </c>
      <c r="I159" s="6">
        <v>57.918804872695347</v>
      </c>
      <c r="J159" s="6">
        <v>58.647529005402511</v>
      </c>
      <c r="K159" s="6">
        <v>154.04237299132723</v>
      </c>
      <c r="L159" s="6">
        <v>116.89825931482355</v>
      </c>
      <c r="M159" s="6">
        <v>49.338411455562913</v>
      </c>
      <c r="N159" s="6">
        <f>SUM(B159:M159)</f>
        <v>904.04419767401771</v>
      </c>
      <c r="O159">
        <f t="shared" si="11"/>
        <v>114.63841145556292</v>
      </c>
      <c r="P159">
        <f t="shared" si="12"/>
        <v>204.6703228853857</v>
      </c>
      <c r="Q159">
        <f t="shared" si="13"/>
        <v>240.96774276145851</v>
      </c>
      <c r="R159">
        <f t="shared" si="14"/>
        <v>329.58816131155328</v>
      </c>
    </row>
    <row r="160" spans="1:18" x14ac:dyDescent="0.2">
      <c r="A160" s="1">
        <v>1992</v>
      </c>
      <c r="B160" s="6">
        <v>7.2</v>
      </c>
      <c r="C160" s="6">
        <v>58.1</v>
      </c>
      <c r="D160" s="6">
        <v>31.1</v>
      </c>
      <c r="E160" s="6">
        <v>97.1</v>
      </c>
      <c r="F160" s="6">
        <v>45.4</v>
      </c>
      <c r="G160" s="6">
        <v>133.6</v>
      </c>
      <c r="H160" s="6">
        <v>79.8</v>
      </c>
      <c r="I160" s="6">
        <v>10.8</v>
      </c>
      <c r="J160" s="6">
        <v>22.6</v>
      </c>
      <c r="K160" s="6">
        <v>84.5</v>
      </c>
      <c r="L160" s="6">
        <v>54.601637929262822</v>
      </c>
      <c r="M160" s="6">
        <v>34.598948913806694</v>
      </c>
      <c r="N160" s="6">
        <f t="shared" ref="N160:N162" si="15">SUM(B160:M160)</f>
        <v>659.4005868430695</v>
      </c>
      <c r="O160">
        <f t="shared" si="11"/>
        <v>67.825573896280048</v>
      </c>
      <c r="P160">
        <f t="shared" si="12"/>
        <v>173.6</v>
      </c>
      <c r="Q160">
        <f t="shared" si="13"/>
        <v>224.2</v>
      </c>
      <c r="R160">
        <f t="shared" si="14"/>
        <v>161.7016379292628</v>
      </c>
    </row>
    <row r="161" spans="1:18" x14ac:dyDescent="0.2">
      <c r="A161" s="1">
        <v>1993</v>
      </c>
      <c r="B161" s="6">
        <v>17.097925135948465</v>
      </c>
      <c r="C161" s="6">
        <v>16.128699846524885</v>
      </c>
      <c r="D161" s="6">
        <v>89.899959541469997</v>
      </c>
      <c r="E161" s="6">
        <v>34.5</v>
      </c>
      <c r="F161" s="6">
        <v>68.599999999999994</v>
      </c>
      <c r="G161" s="6">
        <v>76.705016230783315</v>
      </c>
      <c r="H161" s="6">
        <v>59.647315444189218</v>
      </c>
      <c r="I161" s="6">
        <v>68.987307945566272</v>
      </c>
      <c r="J161" s="6">
        <v>77.378367726507804</v>
      </c>
      <c r="K161" s="6">
        <v>44.604303912451044</v>
      </c>
      <c r="L161" s="6">
        <v>89.965817217780867</v>
      </c>
      <c r="M161" s="6">
        <v>52.984489031681555</v>
      </c>
      <c r="N161" s="6">
        <f t="shared" si="15"/>
        <v>696.49920203290344</v>
      </c>
      <c r="O161">
        <f t="shared" si="11"/>
        <v>164.4987106095023</v>
      </c>
      <c r="P161">
        <f t="shared" si="12"/>
        <v>192.99995954146999</v>
      </c>
      <c r="Q161">
        <f t="shared" si="13"/>
        <v>205.3396396205388</v>
      </c>
      <c r="R161">
        <f t="shared" si="14"/>
        <v>211.94848885673971</v>
      </c>
    </row>
    <row r="162" spans="1:18" x14ac:dyDescent="0.2">
      <c r="A162" s="1">
        <v>1994</v>
      </c>
      <c r="B162" s="6">
        <v>54.952283406367123</v>
      </c>
      <c r="C162" s="6">
        <v>56.561938171453626</v>
      </c>
      <c r="D162" s="6">
        <v>27.643247471341873</v>
      </c>
      <c r="E162" s="6">
        <v>115.4</v>
      </c>
      <c r="F162" s="6">
        <v>46.7</v>
      </c>
      <c r="G162" s="6">
        <v>59.2</v>
      </c>
      <c r="H162" s="6">
        <v>98.4</v>
      </c>
      <c r="I162" s="6">
        <v>23.7</v>
      </c>
      <c r="J162" s="6">
        <v>74.2</v>
      </c>
      <c r="K162" s="6">
        <v>69.7</v>
      </c>
      <c r="L162" s="6">
        <v>30.125041616145001</v>
      </c>
      <c r="M162" s="6">
        <v>32.194089235941206</v>
      </c>
      <c r="N162" s="6">
        <f t="shared" si="15"/>
        <v>688.77659990124891</v>
      </c>
      <c r="O162">
        <f t="shared" si="11"/>
        <v>160.56535263280512</v>
      </c>
      <c r="P162">
        <f t="shared" si="12"/>
        <v>189.74324747134187</v>
      </c>
      <c r="Q162">
        <f t="shared" si="13"/>
        <v>181.3</v>
      </c>
      <c r="R162">
        <f t="shared" si="14"/>
        <v>174.02504161614502</v>
      </c>
    </row>
    <row r="163" spans="1:18" x14ac:dyDescent="0.2">
      <c r="A163" s="1">
        <v>1995</v>
      </c>
      <c r="B163" s="6">
        <v>78.471263396863918</v>
      </c>
      <c r="C163" s="6">
        <v>49.9</v>
      </c>
      <c r="D163" s="6">
        <v>140.69999999999999</v>
      </c>
      <c r="E163" s="6">
        <v>62.8</v>
      </c>
      <c r="F163" s="6">
        <v>54.5</v>
      </c>
      <c r="G163" s="6">
        <v>97.6</v>
      </c>
      <c r="H163" s="6">
        <v>80.900000000000006</v>
      </c>
      <c r="I163" s="6">
        <v>77.099999999999994</v>
      </c>
      <c r="J163" s="6">
        <v>103.1</v>
      </c>
      <c r="K163" s="6">
        <v>1.3</v>
      </c>
      <c r="L163" s="6">
        <v>91.1</v>
      </c>
      <c r="M163" s="6">
        <v>85.4</v>
      </c>
      <c r="N163" s="6">
        <f>SUM(B163:M163)</f>
        <v>922.87126339686392</v>
      </c>
      <c r="O163">
        <f t="shared" si="11"/>
        <v>223.50000000000003</v>
      </c>
      <c r="P163">
        <f t="shared" si="12"/>
        <v>258</v>
      </c>
      <c r="Q163">
        <f t="shared" si="13"/>
        <v>255.6</v>
      </c>
      <c r="R163">
        <f t="shared" si="14"/>
        <v>195.5</v>
      </c>
    </row>
    <row r="164" spans="1:18" x14ac:dyDescent="0.2">
      <c r="A164" s="1">
        <v>1996</v>
      </c>
      <c r="B164" s="6">
        <v>64.7</v>
      </c>
      <c r="C164" s="6">
        <v>73.400000000000006</v>
      </c>
      <c r="D164" s="6">
        <v>36.6</v>
      </c>
      <c r="E164" s="6">
        <v>88.4</v>
      </c>
      <c r="F164" s="6">
        <v>99.6</v>
      </c>
      <c r="G164" s="6">
        <v>33.200000000000003</v>
      </c>
      <c r="H164" s="6">
        <v>47.4</v>
      </c>
      <c r="I164" s="6">
        <v>61.1</v>
      </c>
      <c r="J164" s="6">
        <v>200.5</v>
      </c>
      <c r="K164" s="6">
        <v>74.2</v>
      </c>
      <c r="L164" s="6">
        <v>124.9</v>
      </c>
      <c r="M164" s="6">
        <v>69.7</v>
      </c>
      <c r="N164" s="6">
        <f>SUM(B164:M164)</f>
        <v>973.70000000000016</v>
      </c>
      <c r="O164">
        <f t="shared" si="11"/>
        <v>195.6</v>
      </c>
      <c r="P164">
        <f t="shared" si="12"/>
        <v>224.6</v>
      </c>
      <c r="Q164">
        <f t="shared" si="13"/>
        <v>141.69999999999999</v>
      </c>
      <c r="R164">
        <f t="shared" si="14"/>
        <v>399.6</v>
      </c>
    </row>
    <row r="165" spans="1:18" x14ac:dyDescent="0.2">
      <c r="A165" s="1">
        <v>1997</v>
      </c>
      <c r="B165" s="5">
        <v>69.5</v>
      </c>
      <c r="C165" s="5">
        <v>56.4</v>
      </c>
      <c r="D165" s="5">
        <v>27</v>
      </c>
      <c r="E165" s="5">
        <v>78</v>
      </c>
      <c r="F165" s="5">
        <v>48.3</v>
      </c>
      <c r="G165" s="5">
        <v>92.9</v>
      </c>
      <c r="H165" s="5">
        <v>93.2</v>
      </c>
      <c r="I165" s="5">
        <v>61</v>
      </c>
      <c r="J165" s="5">
        <v>23.7</v>
      </c>
      <c r="K165" s="5">
        <v>121.5</v>
      </c>
      <c r="L165" s="5">
        <v>78</v>
      </c>
      <c r="M165" s="5">
        <v>69.8</v>
      </c>
      <c r="N165" s="5">
        <f>SUM(B165:M165)</f>
        <v>819.3</v>
      </c>
      <c r="O165">
        <f t="shared" si="11"/>
        <v>152.79999999999998</v>
      </c>
      <c r="P165">
        <f t="shared" si="12"/>
        <v>153.30000000000001</v>
      </c>
      <c r="Q165">
        <f t="shared" si="13"/>
        <v>247.10000000000002</v>
      </c>
      <c r="R165">
        <f t="shared" si="14"/>
        <v>223.2</v>
      </c>
    </row>
    <row r="166" spans="1:18" x14ac:dyDescent="0.2">
      <c r="A166" s="1">
        <v>1998</v>
      </c>
      <c r="B166" s="5">
        <v>72.599999999999994</v>
      </c>
      <c r="C166" s="5">
        <v>10.4</v>
      </c>
      <c r="D166" s="5">
        <v>26.3</v>
      </c>
      <c r="E166" s="5">
        <v>48.1</v>
      </c>
      <c r="F166" s="5">
        <v>61</v>
      </c>
      <c r="G166" s="5">
        <v>118.1</v>
      </c>
      <c r="H166" s="5">
        <v>52.5</v>
      </c>
      <c r="I166" s="5">
        <v>62.4</v>
      </c>
      <c r="J166" s="5">
        <v>146.1</v>
      </c>
      <c r="K166" s="5">
        <v>95.1</v>
      </c>
      <c r="L166" s="5">
        <v>73.900000000000006</v>
      </c>
      <c r="M166" s="5">
        <v>67.400000000000006</v>
      </c>
      <c r="N166" s="5">
        <f t="shared" ref="N166:N188" si="16">SUM(B166:M166)</f>
        <v>833.9</v>
      </c>
      <c r="O166">
        <f t="shared" si="11"/>
        <v>193.4</v>
      </c>
      <c r="P166">
        <f t="shared" si="12"/>
        <v>135.4</v>
      </c>
      <c r="Q166">
        <f t="shared" si="13"/>
        <v>233</v>
      </c>
      <c r="R166">
        <f t="shared" si="14"/>
        <v>315.10000000000002</v>
      </c>
    </row>
    <row r="167" spans="1:18" x14ac:dyDescent="0.2">
      <c r="A167" s="1">
        <v>1999</v>
      </c>
      <c r="B167" s="5">
        <v>38.200000000000003</v>
      </c>
      <c r="C167" s="5">
        <v>87.8</v>
      </c>
      <c r="D167" s="5">
        <v>39</v>
      </c>
      <c r="E167" s="5">
        <v>74.099999999999994</v>
      </c>
      <c r="F167" s="5">
        <v>43.5</v>
      </c>
      <c r="G167" s="5">
        <v>115.3</v>
      </c>
      <c r="H167" s="5">
        <v>121</v>
      </c>
      <c r="I167" s="5">
        <v>21.8</v>
      </c>
      <c r="J167" s="5">
        <v>84.5</v>
      </c>
      <c r="K167" s="5">
        <v>62.2</v>
      </c>
      <c r="L167" s="5">
        <v>122.7</v>
      </c>
      <c r="M167" s="5">
        <v>196.2</v>
      </c>
      <c r="N167" s="5">
        <f t="shared" si="16"/>
        <v>1006.3000000000002</v>
      </c>
      <c r="O167">
        <f t="shared" si="11"/>
        <v>283.2</v>
      </c>
      <c r="P167">
        <f t="shared" si="12"/>
        <v>156.6</v>
      </c>
      <c r="Q167">
        <f t="shared" si="13"/>
        <v>258.10000000000002</v>
      </c>
      <c r="R167">
        <f t="shared" si="14"/>
        <v>269.39999999999998</v>
      </c>
    </row>
    <row r="168" spans="1:18" x14ac:dyDescent="0.2">
      <c r="A168" s="1">
        <v>2000</v>
      </c>
      <c r="B168" s="1">
        <v>31</v>
      </c>
      <c r="C168" s="1">
        <v>56</v>
      </c>
      <c r="D168" s="1">
        <v>32.700000000000003</v>
      </c>
      <c r="E168" s="1">
        <v>39.200000000000003</v>
      </c>
      <c r="F168" s="1">
        <v>63.3</v>
      </c>
      <c r="G168" s="1">
        <v>32.4</v>
      </c>
      <c r="H168" s="1">
        <v>43.5</v>
      </c>
      <c r="I168" s="1">
        <v>41</v>
      </c>
      <c r="J168" s="1">
        <v>56.6</v>
      </c>
      <c r="K168" s="1">
        <v>47.4</v>
      </c>
      <c r="L168" s="1">
        <v>68.2</v>
      </c>
      <c r="M168" s="1">
        <v>50.3</v>
      </c>
      <c r="N168" s="1">
        <f t="shared" si="16"/>
        <v>561.6</v>
      </c>
      <c r="O168">
        <f t="shared" si="11"/>
        <v>216.39999999999998</v>
      </c>
      <c r="P168">
        <f t="shared" si="12"/>
        <v>135.19999999999999</v>
      </c>
      <c r="Q168">
        <f t="shared" si="13"/>
        <v>116.9</v>
      </c>
      <c r="R168">
        <f t="shared" si="14"/>
        <v>172.2</v>
      </c>
    </row>
    <row r="169" spans="1:18" x14ac:dyDescent="0.2">
      <c r="A169" s="1">
        <v>2001</v>
      </c>
      <c r="B169" s="1">
        <v>118.4</v>
      </c>
      <c r="C169" s="1">
        <v>47.7</v>
      </c>
      <c r="D169" s="1">
        <v>61.6</v>
      </c>
      <c r="E169" s="1">
        <v>95.5</v>
      </c>
      <c r="F169" s="1">
        <v>76</v>
      </c>
      <c r="G169" s="1">
        <v>171.2</v>
      </c>
      <c r="H169" s="1">
        <v>93.9</v>
      </c>
      <c r="I169" s="1">
        <v>17.2</v>
      </c>
      <c r="J169" s="1">
        <v>201.6</v>
      </c>
      <c r="K169" s="1">
        <v>16.3</v>
      </c>
      <c r="L169" s="1">
        <v>118.5</v>
      </c>
      <c r="M169" s="1">
        <v>32.6</v>
      </c>
      <c r="N169" s="1">
        <f t="shared" si="16"/>
        <v>1050.5</v>
      </c>
      <c r="O169">
        <f t="shared" si="11"/>
        <v>74.8</v>
      </c>
      <c r="P169">
        <f t="shared" si="12"/>
        <v>233.1</v>
      </c>
      <c r="Q169">
        <f t="shared" si="13"/>
        <v>282.3</v>
      </c>
      <c r="R169">
        <f t="shared" si="14"/>
        <v>336.4</v>
      </c>
    </row>
    <row r="170" spans="1:18" x14ac:dyDescent="0.2">
      <c r="A170" s="1">
        <v>2002</v>
      </c>
      <c r="B170" s="1">
        <v>27.1</v>
      </c>
      <c r="C170" s="1">
        <v>15.1</v>
      </c>
      <c r="D170" s="1">
        <v>19.5</v>
      </c>
      <c r="E170" s="1">
        <v>97.3</v>
      </c>
      <c r="F170" s="1">
        <v>131.80000000000001</v>
      </c>
      <c r="G170" s="1">
        <v>32.4</v>
      </c>
      <c r="H170" s="1">
        <v>34.5</v>
      </c>
      <c r="I170" s="1">
        <v>125.7</v>
      </c>
      <c r="J170" s="1">
        <v>171.2</v>
      </c>
      <c r="K170" s="1">
        <v>100.4</v>
      </c>
      <c r="L170" s="1">
        <v>48.8</v>
      </c>
      <c r="M170" s="1">
        <v>45</v>
      </c>
      <c r="N170" s="1">
        <f t="shared" si="16"/>
        <v>848.79999999999984</v>
      </c>
      <c r="O170">
        <f t="shared" si="11"/>
        <v>150.80000000000001</v>
      </c>
      <c r="P170">
        <f t="shared" si="12"/>
        <v>248.60000000000002</v>
      </c>
      <c r="Q170">
        <f t="shared" si="13"/>
        <v>192.60000000000002</v>
      </c>
      <c r="R170">
        <f t="shared" si="14"/>
        <v>320.40000000000003</v>
      </c>
    </row>
    <row r="171" spans="1:18" x14ac:dyDescent="0.2">
      <c r="A171" s="1">
        <v>2003</v>
      </c>
      <c r="B171" s="1">
        <v>80.7</v>
      </c>
      <c r="C171" s="1">
        <v>25.1</v>
      </c>
      <c r="D171" s="1">
        <v>15</v>
      </c>
      <c r="E171" s="1">
        <v>27.2</v>
      </c>
      <c r="F171" s="1">
        <v>58.2</v>
      </c>
      <c r="G171" s="1">
        <v>53.6</v>
      </c>
      <c r="H171" s="1">
        <v>53</v>
      </c>
      <c r="I171" s="1">
        <v>12</v>
      </c>
      <c r="J171" s="1">
        <v>80.8</v>
      </c>
      <c r="K171" s="1">
        <v>146.80000000000001</v>
      </c>
      <c r="L171" s="1">
        <v>25.7</v>
      </c>
      <c r="M171" s="1">
        <v>53.6</v>
      </c>
      <c r="N171" s="1">
        <f t="shared" si="16"/>
        <v>631.70000000000016</v>
      </c>
      <c r="O171">
        <f t="shared" si="11"/>
        <v>188.70000000000002</v>
      </c>
      <c r="P171">
        <f t="shared" si="12"/>
        <v>100.4</v>
      </c>
      <c r="Q171">
        <f t="shared" si="13"/>
        <v>118.6</v>
      </c>
      <c r="R171">
        <f t="shared" si="14"/>
        <v>253.3</v>
      </c>
    </row>
    <row r="172" spans="1:18" x14ac:dyDescent="0.2">
      <c r="A172" s="1">
        <v>2004</v>
      </c>
      <c r="B172" s="1">
        <v>67.7</v>
      </c>
      <c r="C172" s="1">
        <v>67.400000000000006</v>
      </c>
      <c r="D172" s="1">
        <v>44.8</v>
      </c>
      <c r="E172" s="1">
        <v>114.5</v>
      </c>
      <c r="F172" s="1">
        <v>56.9</v>
      </c>
      <c r="G172" s="1">
        <v>113.2</v>
      </c>
      <c r="H172" s="1">
        <v>33.6</v>
      </c>
      <c r="I172" s="1">
        <v>110.3</v>
      </c>
      <c r="J172" s="1">
        <v>68.900000000000006</v>
      </c>
      <c r="K172" s="1">
        <v>59.2</v>
      </c>
      <c r="L172" s="1">
        <v>108.1</v>
      </c>
      <c r="M172" s="1">
        <v>81.2</v>
      </c>
      <c r="N172" s="1">
        <f t="shared" si="16"/>
        <v>925.80000000000007</v>
      </c>
      <c r="O172">
        <f t="shared" si="11"/>
        <v>232.7</v>
      </c>
      <c r="P172">
        <f t="shared" si="12"/>
        <v>216.20000000000002</v>
      </c>
      <c r="Q172">
        <f t="shared" si="13"/>
        <v>257.10000000000002</v>
      </c>
      <c r="R172">
        <f t="shared" si="14"/>
        <v>236.20000000000002</v>
      </c>
    </row>
    <row r="173" spans="1:18" x14ac:dyDescent="0.2">
      <c r="A173" s="1">
        <v>2005</v>
      </c>
      <c r="B173" s="1">
        <v>43.9</v>
      </c>
      <c r="C173" s="1">
        <v>107.6</v>
      </c>
      <c r="D173" s="1">
        <v>62.1</v>
      </c>
      <c r="E173" s="1">
        <v>65.2</v>
      </c>
      <c r="F173" s="1">
        <v>78.900000000000006</v>
      </c>
      <c r="G173" s="1">
        <v>89.9</v>
      </c>
      <c r="H173" s="1">
        <v>162.1</v>
      </c>
      <c r="I173" s="1">
        <v>100</v>
      </c>
      <c r="J173" s="1">
        <v>60.2</v>
      </c>
      <c r="K173" s="1">
        <v>22.3</v>
      </c>
      <c r="L173" s="1">
        <v>103</v>
      </c>
      <c r="M173" s="1">
        <v>126.3</v>
      </c>
      <c r="N173" s="1">
        <f t="shared" si="16"/>
        <v>1021.5</v>
      </c>
      <c r="O173">
        <f t="shared" si="11"/>
        <v>202</v>
      </c>
      <c r="P173">
        <f t="shared" si="12"/>
        <v>206.20000000000002</v>
      </c>
      <c r="Q173">
        <f t="shared" si="13"/>
        <v>352</v>
      </c>
      <c r="R173">
        <f t="shared" si="14"/>
        <v>185.5</v>
      </c>
    </row>
    <row r="174" spans="1:18" x14ac:dyDescent="0.2">
      <c r="A174" s="1">
        <v>2006</v>
      </c>
      <c r="B174" s="1">
        <v>32.9</v>
      </c>
      <c r="C174" s="1">
        <v>42.8</v>
      </c>
      <c r="D174" s="1">
        <v>82.1</v>
      </c>
      <c r="E174" s="1">
        <v>69.2</v>
      </c>
      <c r="F174" s="1">
        <v>51.9</v>
      </c>
      <c r="G174" s="1">
        <v>77.7</v>
      </c>
      <c r="H174" s="1">
        <v>34.5</v>
      </c>
      <c r="I174" s="1">
        <v>174.2</v>
      </c>
      <c r="J174" s="1">
        <v>29.8</v>
      </c>
      <c r="K174" s="1">
        <v>31.6</v>
      </c>
      <c r="L174" s="1">
        <v>52.7</v>
      </c>
      <c r="M174" s="1">
        <v>37</v>
      </c>
      <c r="N174" s="1">
        <f t="shared" si="16"/>
        <v>716.4</v>
      </c>
      <c r="O174">
        <f t="shared" si="11"/>
        <v>133.69999999999999</v>
      </c>
      <c r="P174">
        <f t="shared" si="12"/>
        <v>203.20000000000002</v>
      </c>
      <c r="Q174">
        <f t="shared" si="13"/>
        <v>286.39999999999998</v>
      </c>
      <c r="R174">
        <f t="shared" si="14"/>
        <v>114.10000000000001</v>
      </c>
    </row>
    <row r="175" spans="1:18" x14ac:dyDescent="0.2">
      <c r="A175" s="1">
        <v>2007</v>
      </c>
      <c r="B175" s="1">
        <v>58.1</v>
      </c>
      <c r="C175" s="1">
        <v>38.6</v>
      </c>
      <c r="D175" s="1">
        <v>65.8</v>
      </c>
      <c r="E175" s="1">
        <v>3.1</v>
      </c>
      <c r="F175" s="1">
        <v>107.4</v>
      </c>
      <c r="G175" s="1">
        <v>68.900000000000006</v>
      </c>
      <c r="H175" s="1">
        <v>62</v>
      </c>
      <c r="I175" s="1">
        <v>37.4</v>
      </c>
      <c r="J175" s="1">
        <v>103.7</v>
      </c>
      <c r="K175" s="1">
        <v>115.6</v>
      </c>
      <c r="L175" s="1">
        <v>82.8</v>
      </c>
      <c r="M175" s="1">
        <v>73.900000000000006</v>
      </c>
      <c r="N175" s="1">
        <f t="shared" si="16"/>
        <v>817.3</v>
      </c>
      <c r="O175">
        <f t="shared" si="11"/>
        <v>119.2</v>
      </c>
      <c r="P175">
        <f t="shared" si="12"/>
        <v>176.3</v>
      </c>
      <c r="Q175">
        <f t="shared" si="13"/>
        <v>168.3</v>
      </c>
      <c r="R175">
        <f t="shared" si="14"/>
        <v>302.10000000000002</v>
      </c>
    </row>
    <row r="176" spans="1:18" x14ac:dyDescent="0.2">
      <c r="A176" s="1">
        <v>2008</v>
      </c>
      <c r="B176" s="1">
        <v>26.3</v>
      </c>
      <c r="C176" s="1">
        <v>19</v>
      </c>
      <c r="D176" s="1">
        <v>100</v>
      </c>
      <c r="E176" s="1">
        <v>40.4</v>
      </c>
      <c r="F176" s="1">
        <v>35.5</v>
      </c>
      <c r="G176" s="1">
        <v>74.599999999999994</v>
      </c>
      <c r="H176" s="1">
        <v>139.80000000000001</v>
      </c>
      <c r="I176" s="1">
        <v>27.4</v>
      </c>
      <c r="J176" s="1">
        <v>83</v>
      </c>
      <c r="K176" s="1">
        <v>52.1</v>
      </c>
      <c r="L176" s="1">
        <v>94.7</v>
      </c>
      <c r="M176" s="1">
        <v>112.8</v>
      </c>
      <c r="N176" s="1">
        <f t="shared" si="16"/>
        <v>805.6</v>
      </c>
      <c r="O176">
        <f t="shared" si="11"/>
        <v>220.2</v>
      </c>
      <c r="P176">
        <f t="shared" si="12"/>
        <v>175.9</v>
      </c>
      <c r="Q176">
        <f t="shared" si="13"/>
        <v>241.8</v>
      </c>
      <c r="R176">
        <f t="shared" si="14"/>
        <v>229.8</v>
      </c>
    </row>
    <row r="177" spans="1:18" x14ac:dyDescent="0.2">
      <c r="A177" s="1">
        <v>2009</v>
      </c>
      <c r="B177" s="1">
        <v>64.3</v>
      </c>
      <c r="C177" s="1">
        <v>43.1</v>
      </c>
      <c r="D177" s="1">
        <v>75.900000000000006</v>
      </c>
      <c r="E177" s="1">
        <v>36.200000000000003</v>
      </c>
      <c r="F177" s="1">
        <v>77.3</v>
      </c>
      <c r="G177" s="1">
        <v>146.80000000000001</v>
      </c>
      <c r="H177" s="1">
        <v>55.8</v>
      </c>
      <c r="I177" s="1">
        <v>61.9</v>
      </c>
      <c r="J177" s="1">
        <v>29.7</v>
      </c>
      <c r="K177" s="1">
        <v>104.4</v>
      </c>
      <c r="L177" s="1">
        <v>46.1</v>
      </c>
      <c r="M177" s="1">
        <v>126.7</v>
      </c>
      <c r="N177" s="1">
        <f t="shared" si="16"/>
        <v>868.20000000000016</v>
      </c>
      <c r="O177">
        <f t="shared" si="11"/>
        <v>281.60000000000002</v>
      </c>
      <c r="P177">
        <f t="shared" si="12"/>
        <v>189.4</v>
      </c>
      <c r="Q177">
        <f t="shared" si="13"/>
        <v>264.5</v>
      </c>
      <c r="R177">
        <f t="shared" si="14"/>
        <v>180.2</v>
      </c>
    </row>
    <row r="178" spans="1:18" x14ac:dyDescent="0.2">
      <c r="A178" s="1">
        <v>2010</v>
      </c>
      <c r="B178" s="1">
        <v>98.9</v>
      </c>
      <c r="C178" s="1">
        <v>56</v>
      </c>
      <c r="D178" s="1">
        <v>76.5</v>
      </c>
      <c r="E178" s="1">
        <v>73</v>
      </c>
      <c r="F178" s="1">
        <v>72</v>
      </c>
      <c r="G178" s="1">
        <v>168.2</v>
      </c>
      <c r="H178" s="1">
        <v>78.8</v>
      </c>
      <c r="I178" s="1">
        <v>26.7</v>
      </c>
      <c r="J178" s="1">
        <v>98.7</v>
      </c>
      <c r="K178" s="1">
        <v>59.8</v>
      </c>
      <c r="L178" s="1">
        <v>83</v>
      </c>
      <c r="M178" s="1">
        <v>83.3</v>
      </c>
      <c r="N178" s="1">
        <f t="shared" si="16"/>
        <v>974.89999999999986</v>
      </c>
      <c r="O178">
        <f t="shared" si="11"/>
        <v>115.69999999999999</v>
      </c>
      <c r="P178">
        <f t="shared" si="12"/>
        <v>221.5</v>
      </c>
      <c r="Q178">
        <f t="shared" si="13"/>
        <v>273.7</v>
      </c>
      <c r="R178">
        <f t="shared" si="14"/>
        <v>241.5</v>
      </c>
    </row>
    <row r="179" spans="1:18" x14ac:dyDescent="0.2">
      <c r="A179" s="1">
        <v>2011</v>
      </c>
      <c r="B179" s="1">
        <v>16.399999999999999</v>
      </c>
      <c r="C179" s="1">
        <v>16</v>
      </c>
      <c r="D179" s="1">
        <v>24.4</v>
      </c>
      <c r="E179" s="1">
        <v>27.1</v>
      </c>
      <c r="F179" s="1">
        <v>78.8</v>
      </c>
      <c r="G179" s="1">
        <v>74.900000000000006</v>
      </c>
      <c r="H179" s="1">
        <v>120.6</v>
      </c>
      <c r="I179" s="1">
        <v>9.3000000000000007</v>
      </c>
      <c r="J179" s="1">
        <v>21.1</v>
      </c>
      <c r="K179" s="1">
        <v>59.2</v>
      </c>
      <c r="L179" s="1">
        <v>13.9</v>
      </c>
      <c r="M179" s="1">
        <v>57.5</v>
      </c>
      <c r="N179" s="1">
        <f t="shared" si="16"/>
        <v>519.20000000000005</v>
      </c>
      <c r="O179">
        <f t="shared" si="11"/>
        <v>210.9</v>
      </c>
      <c r="P179">
        <f t="shared" si="12"/>
        <v>130.30000000000001</v>
      </c>
      <c r="Q179">
        <f t="shared" si="13"/>
        <v>204.8</v>
      </c>
      <c r="R179">
        <f t="shared" si="14"/>
        <v>94.200000000000017</v>
      </c>
    </row>
    <row r="180" spans="1:18" x14ac:dyDescent="0.2">
      <c r="A180" s="1">
        <v>2012</v>
      </c>
      <c r="B180" s="1">
        <v>65.2</v>
      </c>
      <c r="C180" s="1">
        <v>88.2</v>
      </c>
      <c r="D180" s="1">
        <v>5.7</v>
      </c>
      <c r="E180" s="1">
        <v>99.9</v>
      </c>
      <c r="F180" s="1">
        <v>126.4</v>
      </c>
      <c r="G180" s="1">
        <v>9.1999999999999993</v>
      </c>
      <c r="H180" s="1">
        <v>49.5</v>
      </c>
      <c r="I180" s="1">
        <v>0.6</v>
      </c>
      <c r="J180" s="1">
        <v>57.1</v>
      </c>
      <c r="K180" s="1">
        <v>89</v>
      </c>
      <c r="L180" s="1">
        <v>45.5</v>
      </c>
      <c r="M180" s="1">
        <v>66.599999999999994</v>
      </c>
      <c r="N180" s="1">
        <f t="shared" si="16"/>
        <v>702.9</v>
      </c>
      <c r="O180">
        <f t="shared" si="11"/>
        <v>256.10000000000002</v>
      </c>
      <c r="P180">
        <f t="shared" si="12"/>
        <v>232</v>
      </c>
      <c r="Q180">
        <f t="shared" si="13"/>
        <v>59.300000000000004</v>
      </c>
      <c r="R180">
        <f t="shared" si="14"/>
        <v>191.6</v>
      </c>
    </row>
    <row r="181" spans="1:18" x14ac:dyDescent="0.2">
      <c r="A181" s="1">
        <v>2013</v>
      </c>
      <c r="B181" s="1">
        <v>82</v>
      </c>
      <c r="C181" s="1">
        <v>107.5</v>
      </c>
      <c r="D181" s="1">
        <v>90.2</v>
      </c>
      <c r="E181" s="1">
        <v>38.9</v>
      </c>
      <c r="F181" s="1">
        <v>120.6</v>
      </c>
      <c r="G181" s="1">
        <v>58.7</v>
      </c>
      <c r="H181" s="1">
        <v>51.5</v>
      </c>
      <c r="I181" s="1">
        <v>25.6</v>
      </c>
      <c r="J181" s="1">
        <v>61.2</v>
      </c>
      <c r="K181" s="1">
        <v>56.7</v>
      </c>
      <c r="L181" s="1">
        <v>96.4</v>
      </c>
      <c r="M181" s="1">
        <v>3.9</v>
      </c>
      <c r="N181" s="1">
        <f t="shared" si="16"/>
        <v>793.19999999999993</v>
      </c>
      <c r="O181">
        <f t="shared" si="11"/>
        <v>60.2</v>
      </c>
      <c r="P181">
        <f t="shared" si="12"/>
        <v>249.7</v>
      </c>
      <c r="Q181">
        <f t="shared" si="13"/>
        <v>135.80000000000001</v>
      </c>
      <c r="R181">
        <f t="shared" si="14"/>
        <v>214.3</v>
      </c>
    </row>
    <row r="182" spans="1:18" x14ac:dyDescent="0.2">
      <c r="A182" s="1">
        <v>2014</v>
      </c>
      <c r="B182" s="1">
        <v>27.1</v>
      </c>
      <c r="C182" s="1">
        <v>29.2</v>
      </c>
      <c r="D182" s="1">
        <v>40.9</v>
      </c>
      <c r="E182" s="1">
        <v>204.5</v>
      </c>
      <c r="F182" s="1">
        <v>184.8</v>
      </c>
      <c r="G182" s="1">
        <v>92.3</v>
      </c>
      <c r="H182" s="1">
        <v>124.6</v>
      </c>
      <c r="I182" s="1">
        <v>152.69999999999999</v>
      </c>
      <c r="J182" s="1">
        <v>174.3</v>
      </c>
      <c r="K182" s="1">
        <v>63.6</v>
      </c>
      <c r="L182" s="1">
        <v>38</v>
      </c>
      <c r="M182" s="1">
        <v>68.599999999999994</v>
      </c>
      <c r="N182" s="1">
        <f t="shared" si="16"/>
        <v>1200.5999999999997</v>
      </c>
      <c r="O182">
        <f t="shared" si="11"/>
        <v>206.20000000000002</v>
      </c>
      <c r="P182">
        <f t="shared" si="12"/>
        <v>430.20000000000005</v>
      </c>
      <c r="Q182">
        <f t="shared" si="13"/>
        <v>369.59999999999997</v>
      </c>
      <c r="R182">
        <f t="shared" si="14"/>
        <v>275.89999999999998</v>
      </c>
    </row>
    <row r="183" spans="1:18" x14ac:dyDescent="0.2">
      <c r="A183" s="1">
        <v>2015</v>
      </c>
      <c r="B183" s="1">
        <v>90.7</v>
      </c>
      <c r="C183" s="1">
        <v>46.9</v>
      </c>
      <c r="D183" s="1">
        <v>84.1</v>
      </c>
      <c r="E183" s="1">
        <v>51.5</v>
      </c>
      <c r="F183" s="1">
        <v>63.4</v>
      </c>
      <c r="G183" s="1">
        <v>70.2</v>
      </c>
      <c r="H183" s="1">
        <v>15.4</v>
      </c>
      <c r="I183" s="1">
        <v>66.8</v>
      </c>
      <c r="J183" s="1">
        <v>46.9</v>
      </c>
      <c r="K183" s="1">
        <v>121.6</v>
      </c>
      <c r="L183" s="1">
        <v>71.099999999999994</v>
      </c>
      <c r="M183" s="1">
        <v>3.8</v>
      </c>
      <c r="N183" s="1">
        <f t="shared" si="16"/>
        <v>732.4</v>
      </c>
      <c r="O183">
        <f t="shared" si="11"/>
        <v>154.6</v>
      </c>
      <c r="P183">
        <f t="shared" si="12"/>
        <v>199</v>
      </c>
      <c r="Q183">
        <f t="shared" si="13"/>
        <v>152.4</v>
      </c>
      <c r="R183">
        <f t="shared" si="14"/>
        <v>239.6</v>
      </c>
    </row>
    <row r="184" spans="1:18" x14ac:dyDescent="0.2">
      <c r="A184" s="1">
        <v>2016</v>
      </c>
      <c r="B184" s="1">
        <v>60.2</v>
      </c>
      <c r="C184" s="1">
        <v>90.6</v>
      </c>
      <c r="D184" s="1">
        <v>88.4</v>
      </c>
      <c r="E184" s="1">
        <v>47.9</v>
      </c>
      <c r="F184" s="1">
        <v>93.1</v>
      </c>
      <c r="G184" s="1">
        <v>69.900000000000006</v>
      </c>
      <c r="H184" s="1">
        <v>134.30000000000001</v>
      </c>
      <c r="I184" s="1">
        <v>84.6</v>
      </c>
      <c r="J184" s="1">
        <v>68.2</v>
      </c>
      <c r="K184" s="1">
        <v>66.5</v>
      </c>
      <c r="L184" s="1">
        <v>83.9</v>
      </c>
      <c r="M184" s="1">
        <v>8.9</v>
      </c>
      <c r="N184" s="1">
        <f t="shared" si="16"/>
        <v>896.50000000000011</v>
      </c>
      <c r="O184">
        <f t="shared" si="11"/>
        <v>101.4</v>
      </c>
      <c r="P184">
        <f t="shared" si="12"/>
        <v>229.4</v>
      </c>
      <c r="Q184">
        <f t="shared" si="13"/>
        <v>288.8</v>
      </c>
      <c r="R184">
        <f t="shared" si="14"/>
        <v>218.6</v>
      </c>
    </row>
    <row r="185" spans="1:18" x14ac:dyDescent="0.2">
      <c r="A185" s="1">
        <v>2017</v>
      </c>
      <c r="B185" s="1">
        <v>41.3</v>
      </c>
      <c r="C185" s="1">
        <v>51.2</v>
      </c>
      <c r="D185" s="1">
        <v>38.200000000000003</v>
      </c>
      <c r="E185" s="1">
        <v>123.5</v>
      </c>
      <c r="F185" s="1">
        <v>83.5</v>
      </c>
      <c r="G185" s="1">
        <v>73.400000000000006</v>
      </c>
      <c r="H185" s="1">
        <v>83.3</v>
      </c>
      <c r="I185" s="1">
        <v>13.5</v>
      </c>
      <c r="J185" s="1">
        <v>90.9</v>
      </c>
      <c r="K185" s="1">
        <v>110.4</v>
      </c>
      <c r="L185" s="1">
        <v>78.3</v>
      </c>
      <c r="M185" s="1">
        <v>95.5</v>
      </c>
      <c r="N185" s="1">
        <f t="shared" si="16"/>
        <v>883</v>
      </c>
      <c r="O185">
        <f t="shared" si="11"/>
        <v>228</v>
      </c>
      <c r="P185">
        <f t="shared" si="12"/>
        <v>245.2</v>
      </c>
      <c r="Q185">
        <f t="shared" si="13"/>
        <v>170.2</v>
      </c>
      <c r="R185">
        <f t="shared" si="14"/>
        <v>279.60000000000002</v>
      </c>
    </row>
    <row r="186" spans="1:18" x14ac:dyDescent="0.2">
      <c r="A186" s="1">
        <v>2018</v>
      </c>
      <c r="B186" s="1">
        <v>56</v>
      </c>
      <c r="C186" s="1">
        <v>76.5</v>
      </c>
      <c r="D186" s="1">
        <v>67</v>
      </c>
      <c r="E186" s="1">
        <v>42.8</v>
      </c>
      <c r="F186" s="1">
        <v>85.1</v>
      </c>
      <c r="G186" s="1">
        <v>86.8</v>
      </c>
      <c r="H186" s="1">
        <v>208.8</v>
      </c>
      <c r="I186" s="1">
        <v>78.8</v>
      </c>
      <c r="J186" s="1">
        <v>35.5</v>
      </c>
      <c r="K186" s="1">
        <v>34.299999999999997</v>
      </c>
      <c r="L186" s="1">
        <v>67.5</v>
      </c>
      <c r="M186" s="1">
        <v>86</v>
      </c>
      <c r="N186" s="1">
        <f t="shared" si="16"/>
        <v>925.09999999999991</v>
      </c>
      <c r="O186">
        <f t="shared" si="11"/>
        <v>225.60000000000002</v>
      </c>
      <c r="P186">
        <f t="shared" si="12"/>
        <v>194.89999999999998</v>
      </c>
      <c r="Q186">
        <f t="shared" si="13"/>
        <v>374.40000000000003</v>
      </c>
      <c r="R186">
        <f t="shared" si="14"/>
        <v>137.30000000000001</v>
      </c>
    </row>
    <row r="187" spans="1:18" x14ac:dyDescent="0.2">
      <c r="A187" s="1">
        <v>2019</v>
      </c>
      <c r="B187" s="1">
        <v>60.8</v>
      </c>
      <c r="C187" s="1">
        <v>78.8</v>
      </c>
      <c r="D187" s="1">
        <v>47.5</v>
      </c>
      <c r="E187" s="1">
        <v>99.8</v>
      </c>
      <c r="F187" s="1">
        <v>90.9</v>
      </c>
      <c r="G187" s="1">
        <v>143.69999999999999</v>
      </c>
      <c r="H187" s="1">
        <v>88.8</v>
      </c>
      <c r="I187" s="1">
        <v>40.200000000000003</v>
      </c>
      <c r="J187" s="1">
        <v>31.7</v>
      </c>
      <c r="K187" s="1">
        <v>24.6</v>
      </c>
      <c r="L187" s="1">
        <v>85.3</v>
      </c>
      <c r="M187" s="1">
        <v>67</v>
      </c>
      <c r="N187" s="1">
        <f t="shared" si="16"/>
        <v>859.1</v>
      </c>
      <c r="O187">
        <f t="shared" si="11"/>
        <v>132.69999999999999</v>
      </c>
      <c r="P187">
        <f t="shared" si="12"/>
        <v>238.20000000000002</v>
      </c>
      <c r="Q187">
        <f t="shared" si="13"/>
        <v>272.7</v>
      </c>
      <c r="R187">
        <f t="shared" si="14"/>
        <v>141.6</v>
      </c>
    </row>
    <row r="188" spans="1:18" x14ac:dyDescent="0.2">
      <c r="A188" s="1">
        <v>2020</v>
      </c>
      <c r="B188" s="1">
        <v>21.8</v>
      </c>
      <c r="C188" s="1">
        <v>43.9</v>
      </c>
      <c r="D188" s="1">
        <v>36.200000000000003</v>
      </c>
      <c r="E188" s="1">
        <v>18.600000000000001</v>
      </c>
      <c r="F188" s="1">
        <v>117.2</v>
      </c>
      <c r="G188" s="1">
        <v>73.599999999999994</v>
      </c>
      <c r="H188" s="1">
        <v>69.2</v>
      </c>
      <c r="I188" s="1">
        <v>142.30000000000001</v>
      </c>
      <c r="J188" s="1">
        <v>29.9</v>
      </c>
      <c r="K188" s="1">
        <v>94.1</v>
      </c>
      <c r="L188" s="1">
        <v>21.5</v>
      </c>
      <c r="M188" s="1">
        <v>91.9</v>
      </c>
      <c r="N188" s="1">
        <f t="shared" si="16"/>
        <v>760.19999999999993</v>
      </c>
      <c r="P188">
        <f t="shared" si="12"/>
        <v>172</v>
      </c>
      <c r="Q188">
        <f t="shared" si="13"/>
        <v>285.10000000000002</v>
      </c>
      <c r="R188">
        <f t="shared" si="14"/>
        <v>145.5</v>
      </c>
    </row>
    <row r="189" spans="1:18" x14ac:dyDescent="0.2">
      <c r="N189" s="22">
        <f>AVERAGE(N129:N188)</f>
        <v>808.10486416413494</v>
      </c>
      <c r="O189" s="22">
        <f t="shared" ref="O189:R189" si="17">AVERAGE(O129:O188)</f>
        <v>170.6950442009188</v>
      </c>
      <c r="P189" s="22">
        <f t="shared" si="17"/>
        <v>198.38022549830336</v>
      </c>
      <c r="Q189" s="22">
        <f t="shared" si="17"/>
        <v>222.81012303969996</v>
      </c>
      <c r="R189" s="22">
        <f t="shared" si="17"/>
        <v>216.23272216189505</v>
      </c>
    </row>
    <row r="191" spans="1:18" x14ac:dyDescent="0.2">
      <c r="A191" s="1" t="s">
        <v>33</v>
      </c>
      <c r="B191" s="1" t="s">
        <v>17</v>
      </c>
      <c r="C191" s="1" t="s">
        <v>18</v>
      </c>
      <c r="D191" s="1" t="s">
        <v>19</v>
      </c>
      <c r="E191" s="1" t="s">
        <v>20</v>
      </c>
      <c r="F191" s="1" t="s">
        <v>21</v>
      </c>
      <c r="G191" s="1" t="s">
        <v>22</v>
      </c>
      <c r="H191" s="1" t="s">
        <v>23</v>
      </c>
      <c r="I191" s="1" t="s">
        <v>24</v>
      </c>
      <c r="J191" s="1" t="s">
        <v>25</v>
      </c>
      <c r="K191" s="1" t="s">
        <v>26</v>
      </c>
      <c r="L191" s="1" t="s">
        <v>27</v>
      </c>
      <c r="M191" s="1" t="s">
        <v>28</v>
      </c>
      <c r="N191" s="1" t="s">
        <v>29</v>
      </c>
      <c r="O191" s="3" t="s">
        <v>13</v>
      </c>
      <c r="P191" s="3" t="s">
        <v>14</v>
      </c>
      <c r="Q191" s="3" t="s">
        <v>15</v>
      </c>
      <c r="R191" s="3" t="s">
        <v>16</v>
      </c>
    </row>
    <row r="192" spans="1:18" x14ac:dyDescent="0.2">
      <c r="A192" s="1">
        <v>1961</v>
      </c>
      <c r="B192" s="1">
        <v>21.8</v>
      </c>
      <c r="C192" s="1">
        <v>44.1</v>
      </c>
      <c r="D192" s="1">
        <v>35.799999999999997</v>
      </c>
      <c r="E192" s="1">
        <v>43.3</v>
      </c>
      <c r="F192" s="1">
        <v>150</v>
      </c>
      <c r="G192" s="1">
        <v>55.2</v>
      </c>
      <c r="H192" s="1">
        <v>68.099999999999994</v>
      </c>
      <c r="I192" s="1">
        <v>18.600000000000001</v>
      </c>
      <c r="J192" s="1">
        <v>20.100000000000001</v>
      </c>
      <c r="K192" s="1">
        <v>106.6</v>
      </c>
      <c r="L192" s="1">
        <v>98.9</v>
      </c>
      <c r="M192" s="1">
        <v>65.900000000000006</v>
      </c>
      <c r="N192" s="1">
        <f>SUM(B192:M192)</f>
        <v>728.4</v>
      </c>
      <c r="O192">
        <f>(M192+B193+C193)</f>
        <v>247.8</v>
      </c>
      <c r="P192">
        <f>SUM(D192:F192)</f>
        <v>229.1</v>
      </c>
      <c r="Q192">
        <f>SUM(G192:I192)</f>
        <v>141.9</v>
      </c>
      <c r="R192">
        <f>SUM(J192:L192)</f>
        <v>225.6</v>
      </c>
    </row>
    <row r="193" spans="1:18" x14ac:dyDescent="0.2">
      <c r="A193" s="1">
        <v>1962</v>
      </c>
      <c r="B193" s="1">
        <v>69.900000000000006</v>
      </c>
      <c r="C193" s="1">
        <v>112</v>
      </c>
      <c r="D193" s="1">
        <v>174.4</v>
      </c>
      <c r="E193" s="1">
        <v>104.7</v>
      </c>
      <c r="F193" s="1">
        <v>31</v>
      </c>
      <c r="G193" s="1">
        <v>70</v>
      </c>
      <c r="H193" s="1">
        <v>52</v>
      </c>
      <c r="I193" s="1">
        <v>21.2</v>
      </c>
      <c r="J193" s="1">
        <v>38.299999999999997</v>
      </c>
      <c r="K193" s="1">
        <v>47.6</v>
      </c>
      <c r="L193" s="1">
        <v>178.8</v>
      </c>
      <c r="M193" s="1">
        <v>85.1</v>
      </c>
      <c r="N193" s="1">
        <f t="shared" ref="N193:N248" si="18">SUM(B193:M193)</f>
        <v>985.00000000000011</v>
      </c>
      <c r="O193">
        <f t="shared" ref="O193:O250" si="19">(M193+B194+C194)</f>
        <v>303.89999999999998</v>
      </c>
      <c r="P193">
        <f t="shared" ref="P193:P251" si="20">SUM(D193:F193)</f>
        <v>310.10000000000002</v>
      </c>
      <c r="Q193">
        <f t="shared" ref="Q193:Q251" si="21">SUM(G193:I193)</f>
        <v>143.19999999999999</v>
      </c>
      <c r="R193">
        <f t="shared" ref="R193:R251" si="22">SUM(J193:L193)</f>
        <v>264.70000000000005</v>
      </c>
    </row>
    <row r="194" spans="1:18" x14ac:dyDescent="0.2">
      <c r="A194" s="1">
        <v>1963</v>
      </c>
      <c r="B194" s="1">
        <v>118.2</v>
      </c>
      <c r="C194" s="1">
        <v>100.6</v>
      </c>
      <c r="D194" s="1">
        <v>34.1</v>
      </c>
      <c r="E194" s="1">
        <v>99.2</v>
      </c>
      <c r="F194" s="1">
        <v>94.6</v>
      </c>
      <c r="G194" s="1">
        <v>86.7</v>
      </c>
      <c r="H194" s="1">
        <v>167.1</v>
      </c>
      <c r="I194" s="1">
        <v>92.6</v>
      </c>
      <c r="J194" s="1">
        <v>82.7</v>
      </c>
      <c r="K194" s="1">
        <v>25.7</v>
      </c>
      <c r="L194" s="1">
        <v>61.4</v>
      </c>
      <c r="M194" s="1">
        <v>147.5</v>
      </c>
      <c r="N194" s="1">
        <f t="shared" si="18"/>
        <v>1110.4000000000001</v>
      </c>
      <c r="O194">
        <f t="shared" si="19"/>
        <v>194.70000000000002</v>
      </c>
      <c r="P194">
        <f t="shared" si="20"/>
        <v>227.9</v>
      </c>
      <c r="Q194">
        <f t="shared" si="21"/>
        <v>346.4</v>
      </c>
      <c r="R194">
        <f t="shared" si="22"/>
        <v>169.8</v>
      </c>
    </row>
    <row r="195" spans="1:18" x14ac:dyDescent="0.2">
      <c r="A195" s="1">
        <v>1964</v>
      </c>
      <c r="B195" s="1">
        <v>4.3</v>
      </c>
      <c r="C195" s="1">
        <v>42.9</v>
      </c>
      <c r="D195" s="1">
        <v>54.8</v>
      </c>
      <c r="E195" s="1">
        <v>39</v>
      </c>
      <c r="F195" s="1">
        <v>93.6</v>
      </c>
      <c r="G195" s="1">
        <v>141.19999999999999</v>
      </c>
      <c r="H195" s="1">
        <v>78.3</v>
      </c>
      <c r="I195" s="1">
        <v>60.9</v>
      </c>
      <c r="J195" s="1">
        <v>91.8</v>
      </c>
      <c r="K195" s="1">
        <v>131.9</v>
      </c>
      <c r="L195" s="1">
        <v>99.7</v>
      </c>
      <c r="M195" s="1">
        <v>173.8</v>
      </c>
      <c r="N195" s="1">
        <f t="shared" si="18"/>
        <v>1012.2</v>
      </c>
      <c r="O195">
        <f t="shared" si="19"/>
        <v>284.5</v>
      </c>
      <c r="P195">
        <f t="shared" si="20"/>
        <v>187.39999999999998</v>
      </c>
      <c r="Q195">
        <f t="shared" si="21"/>
        <v>280.39999999999998</v>
      </c>
      <c r="R195">
        <f t="shared" si="22"/>
        <v>323.39999999999998</v>
      </c>
    </row>
    <row r="196" spans="1:18" x14ac:dyDescent="0.2">
      <c r="A196" s="1">
        <v>1965</v>
      </c>
      <c r="B196" s="1">
        <v>34</v>
      </c>
      <c r="C196" s="1">
        <v>76.7</v>
      </c>
      <c r="D196" s="1">
        <v>62.1</v>
      </c>
      <c r="E196" s="1">
        <v>101.6</v>
      </c>
      <c r="F196" s="1">
        <v>135</v>
      </c>
      <c r="G196" s="1">
        <v>78.7</v>
      </c>
      <c r="H196" s="1">
        <v>16.100000000000001</v>
      </c>
      <c r="I196" s="1">
        <v>49.8</v>
      </c>
      <c r="J196" s="1">
        <v>118.2</v>
      </c>
      <c r="K196" s="1">
        <v>0.9</v>
      </c>
      <c r="L196" s="1">
        <v>170.7</v>
      </c>
      <c r="M196" s="1">
        <v>99.5</v>
      </c>
      <c r="N196" s="1">
        <f t="shared" si="18"/>
        <v>943.3</v>
      </c>
      <c r="O196">
        <f t="shared" si="19"/>
        <v>221.2</v>
      </c>
      <c r="P196">
        <f t="shared" si="20"/>
        <v>298.7</v>
      </c>
      <c r="Q196">
        <f t="shared" si="21"/>
        <v>144.60000000000002</v>
      </c>
      <c r="R196">
        <f t="shared" si="22"/>
        <v>289.8</v>
      </c>
    </row>
    <row r="197" spans="1:18" x14ac:dyDescent="0.2">
      <c r="A197" s="1">
        <v>1966</v>
      </c>
      <c r="B197" s="1">
        <v>96.2</v>
      </c>
      <c r="C197" s="1">
        <v>25.5</v>
      </c>
      <c r="D197" s="1">
        <v>131.1</v>
      </c>
      <c r="E197" s="1">
        <v>46.7</v>
      </c>
      <c r="F197" s="1">
        <v>84.7</v>
      </c>
      <c r="G197" s="1">
        <v>61.9</v>
      </c>
      <c r="H197" s="1">
        <v>117.8</v>
      </c>
      <c r="I197" s="1">
        <v>55.8</v>
      </c>
      <c r="J197" s="1">
        <v>42.8</v>
      </c>
      <c r="K197" s="1">
        <v>141.9</v>
      </c>
      <c r="L197" s="1">
        <v>110</v>
      </c>
      <c r="M197" s="1">
        <v>124.4</v>
      </c>
      <c r="N197" s="1">
        <f t="shared" si="18"/>
        <v>1038.8</v>
      </c>
      <c r="O197">
        <f t="shared" si="19"/>
        <v>238.3</v>
      </c>
      <c r="P197">
        <f t="shared" si="20"/>
        <v>262.5</v>
      </c>
      <c r="Q197">
        <f t="shared" si="21"/>
        <v>235.5</v>
      </c>
      <c r="R197">
        <f t="shared" si="22"/>
        <v>294.7</v>
      </c>
    </row>
    <row r="198" spans="1:18" x14ac:dyDescent="0.2">
      <c r="A198" s="1">
        <v>1967</v>
      </c>
      <c r="B198" s="1">
        <v>94.4</v>
      </c>
      <c r="C198" s="1">
        <v>19.5</v>
      </c>
      <c r="D198" s="1">
        <v>92.2</v>
      </c>
      <c r="E198" s="1">
        <v>66.3</v>
      </c>
      <c r="F198" s="1">
        <v>55.5</v>
      </c>
      <c r="G198" s="1">
        <v>101.9</v>
      </c>
      <c r="H198" s="1">
        <v>124.2</v>
      </c>
      <c r="I198" s="1">
        <v>18.8</v>
      </c>
      <c r="J198" s="1">
        <v>46.9</v>
      </c>
      <c r="K198" s="1">
        <v>31.3</v>
      </c>
      <c r="L198" s="1">
        <v>55.8</v>
      </c>
      <c r="M198" s="1">
        <v>156.30000000000001</v>
      </c>
      <c r="N198" s="1">
        <f t="shared" si="18"/>
        <v>863.09999999999991</v>
      </c>
      <c r="O198">
        <f t="shared" si="19"/>
        <v>353.8</v>
      </c>
      <c r="P198">
        <f t="shared" si="20"/>
        <v>214</v>
      </c>
      <c r="Q198">
        <f t="shared" si="21"/>
        <v>244.90000000000003</v>
      </c>
      <c r="R198">
        <f t="shared" si="22"/>
        <v>134</v>
      </c>
    </row>
    <row r="199" spans="1:18" x14ac:dyDescent="0.2">
      <c r="A199" s="1">
        <v>1968</v>
      </c>
      <c r="B199" s="1">
        <v>158.69999999999999</v>
      </c>
      <c r="C199" s="1">
        <v>38.799999999999997</v>
      </c>
      <c r="D199" s="1">
        <v>44.8</v>
      </c>
      <c r="E199" s="1">
        <v>7.7</v>
      </c>
      <c r="F199" s="1">
        <v>71.900000000000006</v>
      </c>
      <c r="G199" s="1">
        <v>109.8</v>
      </c>
      <c r="H199" s="1">
        <v>81.900000000000006</v>
      </c>
      <c r="I199" s="1">
        <v>120</v>
      </c>
      <c r="J199" s="1">
        <v>124.6</v>
      </c>
      <c r="K199" s="1">
        <v>59.7</v>
      </c>
      <c r="L199" s="1">
        <v>113.8</v>
      </c>
      <c r="M199" s="1">
        <v>136.4</v>
      </c>
      <c r="N199" s="1">
        <f t="shared" si="18"/>
        <v>1068.1000000000001</v>
      </c>
      <c r="O199">
        <f t="shared" si="19"/>
        <v>353.70000000000005</v>
      </c>
      <c r="P199">
        <f t="shared" si="20"/>
        <v>124.4</v>
      </c>
      <c r="Q199">
        <f t="shared" si="21"/>
        <v>311.7</v>
      </c>
      <c r="R199">
        <f t="shared" si="22"/>
        <v>298.10000000000002</v>
      </c>
    </row>
    <row r="200" spans="1:18" x14ac:dyDescent="0.2">
      <c r="A200" s="1">
        <v>1969</v>
      </c>
      <c r="B200" s="1">
        <v>34.200000000000003</v>
      </c>
      <c r="C200" s="1">
        <v>183.1</v>
      </c>
      <c r="D200" s="1">
        <v>42.4</v>
      </c>
      <c r="E200" s="1">
        <v>60.3</v>
      </c>
      <c r="F200" s="1">
        <v>38</v>
      </c>
      <c r="G200" s="1">
        <v>160.6</v>
      </c>
      <c r="H200" s="1">
        <v>115.1</v>
      </c>
      <c r="I200" s="1">
        <v>157.80000000000001</v>
      </c>
      <c r="J200" s="1">
        <v>56.2</v>
      </c>
      <c r="K200" s="1">
        <v>1</v>
      </c>
      <c r="L200" s="1">
        <v>62.7</v>
      </c>
      <c r="M200" s="1">
        <v>160.30000000000001</v>
      </c>
      <c r="N200" s="1">
        <f t="shared" si="18"/>
        <v>1071.7</v>
      </c>
      <c r="O200">
        <f t="shared" si="19"/>
        <v>425.9</v>
      </c>
      <c r="P200">
        <f t="shared" si="20"/>
        <v>140.69999999999999</v>
      </c>
      <c r="Q200">
        <f t="shared" si="21"/>
        <v>433.5</v>
      </c>
      <c r="R200">
        <f t="shared" si="22"/>
        <v>119.9</v>
      </c>
    </row>
    <row r="201" spans="1:18" x14ac:dyDescent="0.2">
      <c r="A201" s="1">
        <v>1970</v>
      </c>
      <c r="B201" s="1">
        <v>134.19999999999999</v>
      </c>
      <c r="C201" s="1">
        <v>131.4</v>
      </c>
      <c r="D201" s="1">
        <v>100.6</v>
      </c>
      <c r="E201" s="1">
        <v>84.8</v>
      </c>
      <c r="F201" s="1">
        <v>102.8</v>
      </c>
      <c r="G201" s="1">
        <v>74.2</v>
      </c>
      <c r="H201" s="1">
        <v>76</v>
      </c>
      <c r="I201" s="1">
        <v>46.7</v>
      </c>
      <c r="J201" s="1">
        <v>26.7</v>
      </c>
      <c r="K201" s="1">
        <v>114.7</v>
      </c>
      <c r="L201" s="1">
        <v>73.7</v>
      </c>
      <c r="M201" s="1">
        <v>68.400000000000006</v>
      </c>
      <c r="N201" s="1">
        <f t="shared" si="18"/>
        <v>1034.2000000000003</v>
      </c>
      <c r="O201">
        <f t="shared" si="19"/>
        <v>252</v>
      </c>
      <c r="P201">
        <f t="shared" si="20"/>
        <v>288.2</v>
      </c>
      <c r="Q201">
        <f t="shared" si="21"/>
        <v>196.89999999999998</v>
      </c>
      <c r="R201">
        <f t="shared" si="22"/>
        <v>215.10000000000002</v>
      </c>
    </row>
    <row r="202" spans="1:18" x14ac:dyDescent="0.2">
      <c r="A202" s="1">
        <v>1971</v>
      </c>
      <c r="B202" s="1">
        <v>127.4</v>
      </c>
      <c r="C202" s="1">
        <v>56.2</v>
      </c>
      <c r="D202" s="1">
        <v>76.400000000000006</v>
      </c>
      <c r="E202" s="1">
        <v>45.1</v>
      </c>
      <c r="F202" s="1">
        <v>55.6</v>
      </c>
      <c r="G202" s="1">
        <v>52.8</v>
      </c>
      <c r="H202" s="1">
        <v>50.4</v>
      </c>
      <c r="I202" s="1">
        <v>13.1</v>
      </c>
      <c r="J202" s="1">
        <v>135.30000000000001</v>
      </c>
      <c r="K202" s="1">
        <v>64.400000000000006</v>
      </c>
      <c r="L202" s="1">
        <v>80.2</v>
      </c>
      <c r="M202" s="1">
        <v>29.2</v>
      </c>
      <c r="N202" s="1">
        <f t="shared" si="18"/>
        <v>786.10000000000014</v>
      </c>
      <c r="O202">
        <f t="shared" si="19"/>
        <v>84.1</v>
      </c>
      <c r="P202">
        <f t="shared" si="20"/>
        <v>177.1</v>
      </c>
      <c r="Q202">
        <f t="shared" si="21"/>
        <v>116.29999999999998</v>
      </c>
      <c r="R202">
        <f t="shared" si="22"/>
        <v>279.90000000000003</v>
      </c>
    </row>
    <row r="203" spans="1:18" x14ac:dyDescent="0.2">
      <c r="A203" s="1">
        <v>1972</v>
      </c>
      <c r="B203" s="1">
        <v>27.2</v>
      </c>
      <c r="C203" s="1">
        <v>27.7</v>
      </c>
      <c r="D203" s="1">
        <v>6.2</v>
      </c>
      <c r="E203" s="1">
        <v>80.2</v>
      </c>
      <c r="F203" s="1">
        <v>101.4</v>
      </c>
      <c r="G203" s="1">
        <v>23</v>
      </c>
      <c r="H203" s="1">
        <v>190</v>
      </c>
      <c r="I203" s="1">
        <v>122</v>
      </c>
      <c r="J203" s="1">
        <v>79.099999999999994</v>
      </c>
      <c r="K203" s="1">
        <v>71.7</v>
      </c>
      <c r="L203" s="1">
        <v>107</v>
      </c>
      <c r="M203" s="1">
        <v>7.4</v>
      </c>
      <c r="N203" s="1">
        <f t="shared" si="18"/>
        <v>842.90000000000009</v>
      </c>
      <c r="O203">
        <f t="shared" si="19"/>
        <v>140.80000000000001</v>
      </c>
      <c r="P203">
        <f t="shared" si="20"/>
        <v>187.8</v>
      </c>
      <c r="Q203">
        <f t="shared" si="21"/>
        <v>335</v>
      </c>
      <c r="R203">
        <f t="shared" si="22"/>
        <v>257.8</v>
      </c>
    </row>
    <row r="204" spans="1:18" x14ac:dyDescent="0.2">
      <c r="A204" s="1">
        <v>1973</v>
      </c>
      <c r="B204" s="1">
        <v>21.8</v>
      </c>
      <c r="C204" s="1">
        <v>111.6</v>
      </c>
      <c r="D204" s="1">
        <v>57.1</v>
      </c>
      <c r="E204" s="1">
        <v>95.5</v>
      </c>
      <c r="F204" s="1">
        <v>30</v>
      </c>
      <c r="G204" s="1">
        <v>47.4</v>
      </c>
      <c r="H204" s="1">
        <v>59.4</v>
      </c>
      <c r="I204" s="1">
        <v>46</v>
      </c>
      <c r="J204" s="1">
        <v>78.400000000000006</v>
      </c>
      <c r="K204" s="1">
        <v>51.8</v>
      </c>
      <c r="L204" s="1">
        <v>54.2</v>
      </c>
      <c r="M204" s="1">
        <v>69.7</v>
      </c>
      <c r="N204" s="1">
        <f t="shared" si="18"/>
        <v>722.9</v>
      </c>
      <c r="O204">
        <f t="shared" si="19"/>
        <v>197.8</v>
      </c>
      <c r="P204">
        <f t="shared" si="20"/>
        <v>182.6</v>
      </c>
      <c r="Q204">
        <f t="shared" si="21"/>
        <v>152.80000000000001</v>
      </c>
      <c r="R204">
        <f t="shared" si="22"/>
        <v>184.39999999999998</v>
      </c>
    </row>
    <row r="205" spans="1:18" x14ac:dyDescent="0.2">
      <c r="A205" s="1">
        <v>1974</v>
      </c>
      <c r="B205" s="1">
        <v>57.2</v>
      </c>
      <c r="C205" s="1">
        <v>70.900000000000006</v>
      </c>
      <c r="D205" s="1">
        <v>18</v>
      </c>
      <c r="E205" s="1">
        <v>66.2</v>
      </c>
      <c r="F205" s="1">
        <v>91.1</v>
      </c>
      <c r="G205" s="1">
        <v>122.7</v>
      </c>
      <c r="H205" s="1">
        <v>53.1</v>
      </c>
      <c r="I205" s="1">
        <v>74.7</v>
      </c>
      <c r="J205" s="1">
        <v>84</v>
      </c>
      <c r="K205" s="1">
        <v>259</v>
      </c>
      <c r="L205" s="1">
        <v>73.2</v>
      </c>
      <c r="M205" s="1">
        <v>58.2</v>
      </c>
      <c r="N205" s="1">
        <f t="shared" si="18"/>
        <v>1028.3</v>
      </c>
      <c r="O205">
        <f t="shared" si="19"/>
        <v>96.200000000000017</v>
      </c>
      <c r="P205">
        <f t="shared" si="20"/>
        <v>175.3</v>
      </c>
      <c r="Q205">
        <f t="shared" si="21"/>
        <v>250.5</v>
      </c>
      <c r="R205">
        <f t="shared" si="22"/>
        <v>416.2</v>
      </c>
    </row>
    <row r="206" spans="1:18" x14ac:dyDescent="0.2">
      <c r="A206" s="1">
        <v>1975</v>
      </c>
      <c r="B206" s="1">
        <v>25.1</v>
      </c>
      <c r="C206" s="1">
        <v>12.9</v>
      </c>
      <c r="D206" s="1">
        <v>73.099999999999994</v>
      </c>
      <c r="E206" s="1">
        <v>90.6</v>
      </c>
      <c r="F206" s="1">
        <v>105.8</v>
      </c>
      <c r="G206" s="1">
        <v>136.9</v>
      </c>
      <c r="H206" s="1">
        <v>48</v>
      </c>
      <c r="I206" s="1">
        <v>95.8</v>
      </c>
      <c r="J206" s="1">
        <v>33.799999999999997</v>
      </c>
      <c r="K206" s="1">
        <v>112.9</v>
      </c>
      <c r="L206" s="1">
        <v>79.099999999999994</v>
      </c>
      <c r="M206" s="1">
        <v>30</v>
      </c>
      <c r="N206" s="1">
        <f t="shared" si="18"/>
        <v>843.99999999999989</v>
      </c>
      <c r="O206">
        <f t="shared" si="19"/>
        <v>158.70000000000002</v>
      </c>
      <c r="P206">
        <f t="shared" si="20"/>
        <v>269.5</v>
      </c>
      <c r="Q206">
        <f t="shared" si="21"/>
        <v>280.7</v>
      </c>
      <c r="R206">
        <f t="shared" si="22"/>
        <v>225.79999999999998</v>
      </c>
    </row>
    <row r="207" spans="1:18" x14ac:dyDescent="0.2">
      <c r="A207" s="1">
        <v>1976</v>
      </c>
      <c r="B207" s="1">
        <v>102.9</v>
      </c>
      <c r="C207" s="1">
        <v>25.8</v>
      </c>
      <c r="D207" s="1">
        <v>38</v>
      </c>
      <c r="E207" s="1">
        <v>87.3</v>
      </c>
      <c r="F207" s="1">
        <v>70</v>
      </c>
      <c r="G207" s="1">
        <v>80.7</v>
      </c>
      <c r="H207" s="1">
        <v>116.8</v>
      </c>
      <c r="I207" s="1">
        <v>103.2</v>
      </c>
      <c r="J207" s="1">
        <v>95.2</v>
      </c>
      <c r="K207" s="1">
        <v>77.900000000000006</v>
      </c>
      <c r="L207" s="1">
        <v>81.8</v>
      </c>
      <c r="M207" s="1">
        <v>126</v>
      </c>
      <c r="N207" s="1">
        <f t="shared" si="18"/>
        <v>1005.6</v>
      </c>
      <c r="O207">
        <f t="shared" si="19"/>
        <v>305.89999999999998</v>
      </c>
      <c r="P207">
        <f t="shared" si="20"/>
        <v>195.3</v>
      </c>
      <c r="Q207">
        <f t="shared" si="21"/>
        <v>300.7</v>
      </c>
      <c r="R207">
        <f t="shared" si="22"/>
        <v>254.90000000000003</v>
      </c>
    </row>
    <row r="208" spans="1:18" x14ac:dyDescent="0.2">
      <c r="A208" s="1">
        <v>1977</v>
      </c>
      <c r="B208" s="1">
        <v>88.6</v>
      </c>
      <c r="C208" s="1">
        <v>91.3</v>
      </c>
      <c r="D208" s="1">
        <v>64.599999999999994</v>
      </c>
      <c r="E208" s="1">
        <v>66.900000000000006</v>
      </c>
      <c r="F208" s="1">
        <v>55.7</v>
      </c>
      <c r="G208" s="1">
        <v>59.2</v>
      </c>
      <c r="H208" s="1">
        <v>110.6</v>
      </c>
      <c r="I208" s="1">
        <v>89.6</v>
      </c>
      <c r="J208" s="1">
        <v>138</v>
      </c>
      <c r="K208" s="1">
        <v>79.7</v>
      </c>
      <c r="L208" s="1">
        <v>162.69999999999999</v>
      </c>
      <c r="M208" s="1">
        <v>92</v>
      </c>
      <c r="N208" s="1">
        <f t="shared" si="18"/>
        <v>1098.9000000000001</v>
      </c>
      <c r="O208">
        <f t="shared" si="19"/>
        <v>269.60000000000002</v>
      </c>
      <c r="P208">
        <f t="shared" si="20"/>
        <v>187.2</v>
      </c>
      <c r="Q208">
        <f t="shared" si="21"/>
        <v>259.39999999999998</v>
      </c>
      <c r="R208">
        <f t="shared" si="22"/>
        <v>380.4</v>
      </c>
    </row>
    <row r="209" spans="1:18" x14ac:dyDescent="0.2">
      <c r="A209" s="1">
        <v>1978</v>
      </c>
      <c r="B209" s="1">
        <v>59.5</v>
      </c>
      <c r="C209" s="1">
        <v>118.1</v>
      </c>
      <c r="D209" s="1">
        <v>106.3</v>
      </c>
      <c r="E209" s="1">
        <v>72.7</v>
      </c>
      <c r="F209" s="1">
        <v>203.3</v>
      </c>
      <c r="G209" s="1">
        <v>148</v>
      </c>
      <c r="H209" s="1">
        <v>80</v>
      </c>
      <c r="I209" s="1">
        <v>38.200000000000003</v>
      </c>
      <c r="J209" s="1">
        <v>158.6</v>
      </c>
      <c r="K209" s="1">
        <v>31.1</v>
      </c>
      <c r="L209" s="1">
        <v>44.1</v>
      </c>
      <c r="M209" s="1">
        <v>109.1</v>
      </c>
      <c r="N209" s="1">
        <f t="shared" si="18"/>
        <v>1169</v>
      </c>
      <c r="O209">
        <f t="shared" si="19"/>
        <v>259.8</v>
      </c>
      <c r="P209">
        <f t="shared" si="20"/>
        <v>382.3</v>
      </c>
      <c r="Q209">
        <f t="shared" si="21"/>
        <v>266.2</v>
      </c>
      <c r="R209">
        <f t="shared" si="22"/>
        <v>233.79999999999998</v>
      </c>
    </row>
    <row r="210" spans="1:18" x14ac:dyDescent="0.2">
      <c r="A210" s="1">
        <v>1979</v>
      </c>
      <c r="B210" s="1">
        <v>108.9</v>
      </c>
      <c r="C210" s="1">
        <v>41.8</v>
      </c>
      <c r="D210" s="1">
        <v>54.4</v>
      </c>
      <c r="E210" s="1">
        <v>89.7</v>
      </c>
      <c r="F210" s="1">
        <v>56.4</v>
      </c>
      <c r="G210" s="1">
        <v>72.2</v>
      </c>
      <c r="H210" s="1">
        <v>91.6</v>
      </c>
      <c r="I210" s="1">
        <v>99.2</v>
      </c>
      <c r="J210" s="1">
        <v>41.1</v>
      </c>
      <c r="K210" s="1">
        <v>119.9</v>
      </c>
      <c r="L210" s="1">
        <v>109.7</v>
      </c>
      <c r="M210" s="1">
        <v>69.2</v>
      </c>
      <c r="N210" s="1">
        <f t="shared" si="18"/>
        <v>954.10000000000014</v>
      </c>
      <c r="O210">
        <f t="shared" si="19"/>
        <v>255.3</v>
      </c>
      <c r="P210">
        <f t="shared" si="20"/>
        <v>200.5</v>
      </c>
      <c r="Q210">
        <f t="shared" si="21"/>
        <v>263</v>
      </c>
      <c r="R210">
        <f t="shared" si="22"/>
        <v>270.7</v>
      </c>
    </row>
    <row r="211" spans="1:18" x14ac:dyDescent="0.2">
      <c r="A211" s="1">
        <v>1980</v>
      </c>
      <c r="B211" s="1">
        <v>120.1</v>
      </c>
      <c r="C211" s="1">
        <v>66</v>
      </c>
      <c r="D211" s="1">
        <v>80.599999999999994</v>
      </c>
      <c r="E211" s="1">
        <v>84</v>
      </c>
      <c r="F211" s="1">
        <v>105.6</v>
      </c>
      <c r="G211" s="1">
        <v>66.099999999999994</v>
      </c>
      <c r="H211" s="1">
        <v>51.2</v>
      </c>
      <c r="I211" s="1">
        <v>23.6</v>
      </c>
      <c r="J211" s="1">
        <v>42.7</v>
      </c>
      <c r="K211" s="1">
        <v>92</v>
      </c>
      <c r="L211" s="1">
        <v>164</v>
      </c>
      <c r="M211" s="1">
        <v>106.6</v>
      </c>
      <c r="N211" s="1">
        <f t="shared" si="18"/>
        <v>1002.5000000000001</v>
      </c>
      <c r="O211">
        <f t="shared" si="19"/>
        <v>222.7</v>
      </c>
      <c r="P211">
        <f t="shared" si="20"/>
        <v>270.2</v>
      </c>
      <c r="Q211">
        <f t="shared" si="21"/>
        <v>140.9</v>
      </c>
      <c r="R211">
        <f t="shared" si="22"/>
        <v>298.7</v>
      </c>
    </row>
    <row r="212" spans="1:18" x14ac:dyDescent="0.2">
      <c r="A212" s="1">
        <v>1981</v>
      </c>
      <c r="B212" s="1">
        <v>68.099999999999994</v>
      </c>
      <c r="C212" s="1">
        <v>48</v>
      </c>
      <c r="D212" s="1">
        <v>82</v>
      </c>
      <c r="E212" s="1">
        <v>62.7</v>
      </c>
      <c r="F212" s="1">
        <v>80.3</v>
      </c>
      <c r="G212" s="1">
        <v>103</v>
      </c>
      <c r="H212" s="1">
        <v>45.8</v>
      </c>
      <c r="I212" s="1">
        <v>102.4</v>
      </c>
      <c r="J212" s="1">
        <v>97.4</v>
      </c>
      <c r="K212" s="1">
        <v>62.2</v>
      </c>
      <c r="L212" s="1">
        <v>56</v>
      </c>
      <c r="M212" s="1">
        <v>120</v>
      </c>
      <c r="N212" s="1">
        <f t="shared" si="18"/>
        <v>927.90000000000009</v>
      </c>
      <c r="O212">
        <f t="shared" si="19"/>
        <v>172.70000000000002</v>
      </c>
      <c r="P212">
        <f t="shared" si="20"/>
        <v>225</v>
      </c>
      <c r="Q212">
        <f t="shared" si="21"/>
        <v>251.20000000000002</v>
      </c>
      <c r="R212">
        <f t="shared" si="22"/>
        <v>215.60000000000002</v>
      </c>
    </row>
    <row r="213" spans="1:18" x14ac:dyDescent="0.2">
      <c r="A213" s="1">
        <v>1982</v>
      </c>
      <c r="B213" s="1">
        <v>35.9</v>
      </c>
      <c r="C213" s="1">
        <v>16.8</v>
      </c>
      <c r="D213" s="1">
        <v>68</v>
      </c>
      <c r="E213" s="1">
        <v>86.7</v>
      </c>
      <c r="F213" s="1">
        <v>29</v>
      </c>
      <c r="G213" s="1">
        <v>73.400000000000006</v>
      </c>
      <c r="H213" s="1">
        <v>83.5</v>
      </c>
      <c r="I213" s="1">
        <v>25.9</v>
      </c>
      <c r="J213" s="1">
        <v>6.1</v>
      </c>
      <c r="K213" s="1">
        <v>86.3</v>
      </c>
      <c r="L213" s="1">
        <v>41.3</v>
      </c>
      <c r="M213" s="1">
        <v>73.3</v>
      </c>
      <c r="N213" s="1">
        <f t="shared" si="18"/>
        <v>626.19999999999993</v>
      </c>
      <c r="O213">
        <f t="shared" si="19"/>
        <v>222.8</v>
      </c>
      <c r="P213">
        <f t="shared" si="20"/>
        <v>183.7</v>
      </c>
      <c r="Q213">
        <f t="shared" si="21"/>
        <v>182.8</v>
      </c>
      <c r="R213">
        <f t="shared" si="22"/>
        <v>133.69999999999999</v>
      </c>
    </row>
    <row r="214" spans="1:18" x14ac:dyDescent="0.2">
      <c r="A214" s="1">
        <v>1983</v>
      </c>
      <c r="B214" s="1">
        <v>29.2</v>
      </c>
      <c r="C214" s="1">
        <v>120.3</v>
      </c>
      <c r="D214" s="1">
        <v>40</v>
      </c>
      <c r="E214" s="1">
        <v>28.6</v>
      </c>
      <c r="F214" s="1">
        <v>34.799999999999997</v>
      </c>
      <c r="G214" s="1">
        <v>129.19999999999999</v>
      </c>
      <c r="H214" s="1">
        <v>111.7</v>
      </c>
      <c r="I214" s="1">
        <v>65.8</v>
      </c>
      <c r="J214" s="1">
        <v>96</v>
      </c>
      <c r="K214" s="1">
        <v>22.2</v>
      </c>
      <c r="L214" s="1">
        <v>65.5</v>
      </c>
      <c r="M214" s="1">
        <v>51.1</v>
      </c>
      <c r="N214" s="1">
        <f t="shared" si="18"/>
        <v>794.4</v>
      </c>
      <c r="O214">
        <f t="shared" si="19"/>
        <v>226.9</v>
      </c>
      <c r="P214">
        <f t="shared" si="20"/>
        <v>103.39999999999999</v>
      </c>
      <c r="Q214">
        <f t="shared" si="21"/>
        <v>306.7</v>
      </c>
      <c r="R214">
        <f t="shared" si="22"/>
        <v>183.7</v>
      </c>
    </row>
    <row r="215" spans="1:18" x14ac:dyDescent="0.2">
      <c r="A215" s="1">
        <v>1984</v>
      </c>
      <c r="B215" s="1">
        <v>104.3</v>
      </c>
      <c r="C215" s="1">
        <v>71.5</v>
      </c>
      <c r="D215" s="1">
        <v>43.6</v>
      </c>
      <c r="E215" s="1">
        <v>83.6</v>
      </c>
      <c r="F215" s="1">
        <v>87.6</v>
      </c>
      <c r="G215" s="1">
        <v>65.599999999999994</v>
      </c>
      <c r="H215" s="1">
        <v>78.099999999999994</v>
      </c>
      <c r="I215" s="1">
        <v>88.8</v>
      </c>
      <c r="J215" s="1">
        <v>83.6</v>
      </c>
      <c r="K215" s="1">
        <v>123.3</v>
      </c>
      <c r="L215" s="1">
        <v>46.2</v>
      </c>
      <c r="M215" s="1">
        <v>11.9</v>
      </c>
      <c r="N215" s="1">
        <f t="shared" si="18"/>
        <v>888.1</v>
      </c>
      <c r="O215">
        <f t="shared" si="19"/>
        <v>160.80000000000001</v>
      </c>
      <c r="P215">
        <f t="shared" si="20"/>
        <v>214.79999999999998</v>
      </c>
      <c r="Q215">
        <f t="shared" si="21"/>
        <v>232.5</v>
      </c>
      <c r="R215">
        <f t="shared" si="22"/>
        <v>253.09999999999997</v>
      </c>
    </row>
    <row r="216" spans="1:18" x14ac:dyDescent="0.2">
      <c r="A216" s="1">
        <v>1985</v>
      </c>
      <c r="B216" s="1">
        <v>85.7</v>
      </c>
      <c r="C216" s="1">
        <v>63.2</v>
      </c>
      <c r="D216" s="1">
        <v>81.8</v>
      </c>
      <c r="E216" s="1">
        <v>128.80000000000001</v>
      </c>
      <c r="F216" s="1">
        <v>57.7</v>
      </c>
      <c r="G216" s="1">
        <v>75.599999999999994</v>
      </c>
      <c r="H216" s="1">
        <v>29.1</v>
      </c>
      <c r="I216" s="1">
        <v>75.7</v>
      </c>
      <c r="J216" s="1">
        <v>15.9</v>
      </c>
      <c r="K216" s="1">
        <v>31.5</v>
      </c>
      <c r="L216" s="1">
        <v>144</v>
      </c>
      <c r="M216" s="1">
        <v>71</v>
      </c>
      <c r="N216" s="1">
        <f t="shared" si="18"/>
        <v>860</v>
      </c>
      <c r="O216">
        <f t="shared" si="19"/>
        <v>310.5</v>
      </c>
      <c r="P216">
        <f t="shared" si="20"/>
        <v>268.3</v>
      </c>
      <c r="Q216">
        <f t="shared" si="21"/>
        <v>180.39999999999998</v>
      </c>
      <c r="R216">
        <f t="shared" si="22"/>
        <v>191.4</v>
      </c>
    </row>
    <row r="217" spans="1:18" x14ac:dyDescent="0.2">
      <c r="A217" s="1">
        <v>1986</v>
      </c>
      <c r="B217" s="1">
        <v>95.7</v>
      </c>
      <c r="C217" s="1">
        <v>143.80000000000001</v>
      </c>
      <c r="D217" s="1">
        <v>90.6</v>
      </c>
      <c r="E217" s="1">
        <v>76</v>
      </c>
      <c r="F217" s="1">
        <v>55.5</v>
      </c>
      <c r="G217" s="1">
        <v>161.30000000000001</v>
      </c>
      <c r="H217" s="1">
        <v>99.4</v>
      </c>
      <c r="I217" s="1">
        <v>39.9</v>
      </c>
      <c r="J217" s="1">
        <v>9.1999999999999993</v>
      </c>
      <c r="K217" s="1">
        <v>77.2</v>
      </c>
      <c r="L217" s="1">
        <v>28.3</v>
      </c>
      <c r="M217" s="1">
        <v>40</v>
      </c>
      <c r="N217" s="1">
        <f t="shared" si="18"/>
        <v>916.90000000000009</v>
      </c>
      <c r="O217">
        <f t="shared" si="19"/>
        <v>175</v>
      </c>
      <c r="P217">
        <f t="shared" si="20"/>
        <v>222.1</v>
      </c>
      <c r="Q217">
        <f t="shared" si="21"/>
        <v>300.60000000000002</v>
      </c>
      <c r="R217">
        <f t="shared" si="22"/>
        <v>114.7</v>
      </c>
    </row>
    <row r="218" spans="1:18" x14ac:dyDescent="0.2">
      <c r="A218" s="1">
        <v>1987</v>
      </c>
      <c r="B218" s="1">
        <v>104.6</v>
      </c>
      <c r="C218" s="1">
        <v>30.4</v>
      </c>
      <c r="D218" s="1">
        <v>84</v>
      </c>
      <c r="E218" s="1">
        <v>79.3</v>
      </c>
      <c r="F218" s="1">
        <v>132</v>
      </c>
      <c r="G218" s="1">
        <v>40.700000000000003</v>
      </c>
      <c r="H218" s="1">
        <v>14.2</v>
      </c>
      <c r="I218" s="1">
        <v>79.5</v>
      </c>
      <c r="J218" s="1">
        <v>37.299999999999997</v>
      </c>
      <c r="K218" s="1">
        <v>78</v>
      </c>
      <c r="L218" s="1">
        <v>206.2</v>
      </c>
      <c r="M218" s="1">
        <v>77.5</v>
      </c>
      <c r="N218" s="1">
        <f t="shared" si="18"/>
        <v>963.7</v>
      </c>
      <c r="O218">
        <f t="shared" si="19"/>
        <v>222.9</v>
      </c>
      <c r="P218">
        <f t="shared" si="20"/>
        <v>295.3</v>
      </c>
      <c r="Q218">
        <f t="shared" si="21"/>
        <v>134.4</v>
      </c>
      <c r="R218">
        <f t="shared" si="22"/>
        <v>321.5</v>
      </c>
    </row>
    <row r="219" spans="1:18" x14ac:dyDescent="0.2">
      <c r="A219" s="1">
        <v>1988</v>
      </c>
      <c r="B219" s="1">
        <v>92.3</v>
      </c>
      <c r="C219" s="1">
        <v>53.1</v>
      </c>
      <c r="D219" s="1">
        <v>156.69999999999999</v>
      </c>
      <c r="E219" s="1">
        <v>84</v>
      </c>
      <c r="F219" s="1">
        <v>49.7</v>
      </c>
      <c r="G219" s="1">
        <v>112.7</v>
      </c>
      <c r="H219" s="1">
        <v>8.4</v>
      </c>
      <c r="I219" s="1">
        <v>73.900000000000006</v>
      </c>
      <c r="J219" s="1">
        <v>109.2</v>
      </c>
      <c r="K219" s="1">
        <v>41.5</v>
      </c>
      <c r="L219" s="1">
        <v>65.900000000000006</v>
      </c>
      <c r="M219" s="1">
        <v>64.599999999999994</v>
      </c>
      <c r="N219" s="1">
        <f t="shared" si="18"/>
        <v>912</v>
      </c>
      <c r="O219">
        <f t="shared" si="19"/>
        <v>117.5</v>
      </c>
      <c r="P219">
        <f t="shared" si="20"/>
        <v>290.39999999999998</v>
      </c>
      <c r="Q219">
        <f t="shared" si="21"/>
        <v>195</v>
      </c>
      <c r="R219">
        <f t="shared" si="22"/>
        <v>216.6</v>
      </c>
    </row>
    <row r="220" spans="1:18" x14ac:dyDescent="0.2">
      <c r="A220" s="1">
        <v>1989</v>
      </c>
      <c r="B220" s="1">
        <v>11.8</v>
      </c>
      <c r="C220" s="1">
        <v>41.1</v>
      </c>
      <c r="D220" s="1">
        <v>72</v>
      </c>
      <c r="E220" s="1">
        <v>85.2</v>
      </c>
      <c r="F220" s="1">
        <v>147.5</v>
      </c>
      <c r="G220" s="1">
        <v>146.9</v>
      </c>
      <c r="H220" s="1">
        <v>136.6</v>
      </c>
      <c r="I220" s="1">
        <v>183.3</v>
      </c>
      <c r="J220" s="1">
        <v>49.6</v>
      </c>
      <c r="K220" s="1">
        <v>100.9</v>
      </c>
      <c r="L220" s="1">
        <v>106.2</v>
      </c>
      <c r="M220" s="1">
        <v>22.4</v>
      </c>
      <c r="N220" s="1">
        <f t="shared" si="18"/>
        <v>1103.5000000000002</v>
      </c>
      <c r="O220">
        <f t="shared" si="19"/>
        <v>57.4</v>
      </c>
      <c r="P220">
        <f t="shared" si="20"/>
        <v>304.7</v>
      </c>
      <c r="Q220">
        <f t="shared" si="21"/>
        <v>466.8</v>
      </c>
      <c r="R220">
        <f t="shared" si="22"/>
        <v>256.7</v>
      </c>
    </row>
    <row r="221" spans="1:18" x14ac:dyDescent="0.2">
      <c r="A221" s="1">
        <v>1990</v>
      </c>
      <c r="B221" s="1">
        <v>10.6</v>
      </c>
      <c r="C221" s="1">
        <v>24.4</v>
      </c>
      <c r="D221" s="1">
        <v>42.8</v>
      </c>
      <c r="E221" s="1">
        <v>60.8</v>
      </c>
      <c r="F221" s="1">
        <v>43.5</v>
      </c>
      <c r="G221" s="1">
        <v>72</v>
      </c>
      <c r="H221" s="1">
        <v>48.6</v>
      </c>
      <c r="I221" s="1">
        <v>39.1</v>
      </c>
      <c r="J221" s="1">
        <v>68.3</v>
      </c>
      <c r="K221" s="1">
        <v>54</v>
      </c>
      <c r="L221" s="1">
        <v>85.7</v>
      </c>
      <c r="M221" s="1">
        <v>92.1</v>
      </c>
      <c r="N221" s="1">
        <f t="shared" si="18"/>
        <v>641.90000000000009</v>
      </c>
      <c r="O221">
        <f t="shared" si="19"/>
        <v>198.89999999999998</v>
      </c>
      <c r="P221">
        <f t="shared" si="20"/>
        <v>147.1</v>
      </c>
      <c r="Q221">
        <f t="shared" si="21"/>
        <v>159.69999999999999</v>
      </c>
      <c r="R221">
        <f t="shared" si="22"/>
        <v>208</v>
      </c>
    </row>
    <row r="222" spans="1:18" x14ac:dyDescent="0.2">
      <c r="A222" s="1">
        <v>1991</v>
      </c>
      <c r="B222" s="1">
        <v>29.5</v>
      </c>
      <c r="C222" s="1">
        <v>77.3</v>
      </c>
      <c r="D222" s="1">
        <v>39.200000000000003</v>
      </c>
      <c r="E222" s="1">
        <v>83.7</v>
      </c>
      <c r="F222" s="1">
        <v>108.1</v>
      </c>
      <c r="G222" s="1">
        <v>66.8</v>
      </c>
      <c r="H222" s="1">
        <v>131</v>
      </c>
      <c r="I222" s="1">
        <v>60.7</v>
      </c>
      <c r="J222" s="1">
        <v>64.5</v>
      </c>
      <c r="K222" s="1">
        <v>185.8</v>
      </c>
      <c r="L222" s="1">
        <v>142.80000000000001</v>
      </c>
      <c r="M222" s="1">
        <v>63.6</v>
      </c>
      <c r="N222" s="1">
        <f t="shared" si="18"/>
        <v>1052.9999999999998</v>
      </c>
      <c r="O222">
        <f t="shared" si="19"/>
        <v>140.19999999999999</v>
      </c>
      <c r="P222">
        <f t="shared" si="20"/>
        <v>231</v>
      </c>
      <c r="Q222">
        <f t="shared" si="21"/>
        <v>258.5</v>
      </c>
      <c r="R222">
        <f t="shared" si="22"/>
        <v>393.1</v>
      </c>
    </row>
    <row r="223" spans="1:18" x14ac:dyDescent="0.2">
      <c r="A223" s="1">
        <v>1992</v>
      </c>
      <c r="B223" s="1">
        <v>18.100000000000001</v>
      </c>
      <c r="C223" s="1">
        <v>58.5</v>
      </c>
      <c r="D223" s="1">
        <v>25.2</v>
      </c>
      <c r="E223" s="1">
        <v>106.4</v>
      </c>
      <c r="F223" s="1">
        <v>70.3</v>
      </c>
      <c r="G223" s="1">
        <v>117.7</v>
      </c>
      <c r="H223" s="1">
        <v>83.2</v>
      </c>
      <c r="I223" s="1">
        <v>16.3</v>
      </c>
      <c r="J223" s="1">
        <v>37.799999999999997</v>
      </c>
      <c r="K223" s="1">
        <v>133.69999999999999</v>
      </c>
      <c r="L223" s="1">
        <v>66.7</v>
      </c>
      <c r="M223" s="1">
        <v>44.6</v>
      </c>
      <c r="N223" s="1">
        <f t="shared" si="18"/>
        <v>778.50000000000011</v>
      </c>
      <c r="O223">
        <f t="shared" si="19"/>
        <v>89.2</v>
      </c>
      <c r="P223">
        <f t="shared" si="20"/>
        <v>201.89999999999998</v>
      </c>
      <c r="Q223">
        <f t="shared" si="21"/>
        <v>217.20000000000002</v>
      </c>
      <c r="R223">
        <f t="shared" si="22"/>
        <v>238.2</v>
      </c>
    </row>
    <row r="224" spans="1:18" x14ac:dyDescent="0.2">
      <c r="A224" s="1">
        <v>1993</v>
      </c>
      <c r="B224" s="1">
        <v>22.9</v>
      </c>
      <c r="C224" s="1">
        <v>21.7</v>
      </c>
      <c r="D224" s="1">
        <v>113.5</v>
      </c>
      <c r="E224" s="1">
        <v>31.6</v>
      </c>
      <c r="F224" s="1">
        <v>62.3</v>
      </c>
      <c r="G224" s="1">
        <v>80.599999999999994</v>
      </c>
      <c r="H224" s="1">
        <v>65.400000000000006</v>
      </c>
      <c r="I224" s="1">
        <v>72.3</v>
      </c>
      <c r="J224" s="1">
        <v>85.1</v>
      </c>
      <c r="K224" s="1">
        <v>53.8</v>
      </c>
      <c r="L224" s="1">
        <v>109.9</v>
      </c>
      <c r="M224" s="1">
        <v>68.3</v>
      </c>
      <c r="N224" s="1">
        <f t="shared" si="18"/>
        <v>787.39999999999986</v>
      </c>
      <c r="O224">
        <f t="shared" si="19"/>
        <v>217.99999999999997</v>
      </c>
      <c r="P224">
        <f t="shared" si="20"/>
        <v>207.39999999999998</v>
      </c>
      <c r="Q224">
        <f t="shared" si="21"/>
        <v>218.3</v>
      </c>
      <c r="R224">
        <f t="shared" si="22"/>
        <v>248.79999999999998</v>
      </c>
    </row>
    <row r="225" spans="1:18" x14ac:dyDescent="0.2">
      <c r="A225" s="1">
        <v>1994</v>
      </c>
      <c r="B225" s="1">
        <v>73.599999999999994</v>
      </c>
      <c r="C225" s="1">
        <v>76.099999999999994</v>
      </c>
      <c r="D225" s="1">
        <v>34.9</v>
      </c>
      <c r="E225" s="1">
        <v>139.69999999999999</v>
      </c>
      <c r="F225" s="1">
        <v>63.1</v>
      </c>
      <c r="G225" s="1">
        <v>98.5</v>
      </c>
      <c r="H225" s="1">
        <v>86.7</v>
      </c>
      <c r="I225" s="1">
        <v>43.1</v>
      </c>
      <c r="J225" s="1">
        <v>60.6</v>
      </c>
      <c r="K225" s="1">
        <v>69.5</v>
      </c>
      <c r="L225" s="1">
        <v>36.799999999999997</v>
      </c>
      <c r="M225" s="1">
        <v>41.5</v>
      </c>
      <c r="N225" s="1">
        <f t="shared" si="18"/>
        <v>824.1</v>
      </c>
      <c r="O225">
        <f t="shared" si="19"/>
        <v>204.3</v>
      </c>
      <c r="P225">
        <f t="shared" si="20"/>
        <v>237.7</v>
      </c>
      <c r="Q225">
        <f t="shared" si="21"/>
        <v>228.29999999999998</v>
      </c>
      <c r="R225">
        <f t="shared" si="22"/>
        <v>166.89999999999998</v>
      </c>
    </row>
    <row r="226" spans="1:18" x14ac:dyDescent="0.2">
      <c r="A226" s="1">
        <v>1995</v>
      </c>
      <c r="B226" s="1">
        <v>105.1</v>
      </c>
      <c r="C226" s="1">
        <v>57.7</v>
      </c>
      <c r="D226" s="1">
        <v>102.3</v>
      </c>
      <c r="E226" s="1">
        <v>62.3</v>
      </c>
      <c r="F226" s="1">
        <v>107.7</v>
      </c>
      <c r="G226" s="1">
        <v>155.1</v>
      </c>
      <c r="H226" s="1">
        <v>53.6</v>
      </c>
      <c r="I226" s="1">
        <v>121.9</v>
      </c>
      <c r="J226" s="1">
        <v>88.7</v>
      </c>
      <c r="K226" s="1">
        <v>0.9</v>
      </c>
      <c r="L226" s="1">
        <v>79.900000000000006</v>
      </c>
      <c r="M226" s="1">
        <v>155.9</v>
      </c>
      <c r="N226" s="1">
        <f t="shared" si="18"/>
        <v>1091.1000000000001</v>
      </c>
      <c r="O226">
        <f t="shared" si="19"/>
        <v>319.8</v>
      </c>
      <c r="P226">
        <f t="shared" si="20"/>
        <v>272.3</v>
      </c>
      <c r="Q226">
        <f t="shared" si="21"/>
        <v>330.6</v>
      </c>
      <c r="R226">
        <f t="shared" si="22"/>
        <v>169.5</v>
      </c>
    </row>
    <row r="227" spans="1:18" x14ac:dyDescent="0.2">
      <c r="A227" s="1">
        <v>1996</v>
      </c>
      <c r="B227" s="1">
        <v>70.900000000000006</v>
      </c>
      <c r="C227" s="1">
        <v>93</v>
      </c>
      <c r="D227" s="1">
        <v>58.2</v>
      </c>
      <c r="E227" s="1">
        <v>70.099999999999994</v>
      </c>
      <c r="F227" s="1">
        <v>54.3</v>
      </c>
      <c r="G227" s="1">
        <v>46.5</v>
      </c>
      <c r="H227" s="1">
        <v>18.100000000000001</v>
      </c>
      <c r="I227" s="1">
        <v>88</v>
      </c>
      <c r="J227" s="1">
        <v>258.3</v>
      </c>
      <c r="K227" s="1">
        <v>95.4</v>
      </c>
      <c r="L227" s="1">
        <v>111.8</v>
      </c>
      <c r="M227" s="1">
        <v>103.5</v>
      </c>
      <c r="N227" s="1">
        <f t="shared" si="18"/>
        <v>1068.0999999999999</v>
      </c>
      <c r="O227">
        <f t="shared" si="19"/>
        <v>212.5</v>
      </c>
      <c r="P227">
        <f t="shared" si="20"/>
        <v>182.60000000000002</v>
      </c>
      <c r="Q227">
        <f t="shared" si="21"/>
        <v>152.6</v>
      </c>
      <c r="R227">
        <f t="shared" si="22"/>
        <v>465.50000000000006</v>
      </c>
    </row>
    <row r="228" spans="1:18" x14ac:dyDescent="0.2">
      <c r="A228" s="1">
        <v>1997</v>
      </c>
      <c r="B228" s="1">
        <v>49.7</v>
      </c>
      <c r="C228" s="1">
        <v>59.3</v>
      </c>
      <c r="D228" s="1">
        <v>45.2</v>
      </c>
      <c r="E228" s="1">
        <v>106.1</v>
      </c>
      <c r="F228" s="1">
        <v>59.5</v>
      </c>
      <c r="G228" s="1">
        <v>50.6</v>
      </c>
      <c r="H228" s="1">
        <v>79.900000000000006</v>
      </c>
      <c r="I228" s="1">
        <v>54.6</v>
      </c>
      <c r="J228" s="1">
        <v>18.5</v>
      </c>
      <c r="K228" s="1">
        <v>162.80000000000001</v>
      </c>
      <c r="L228" s="1">
        <v>75.5</v>
      </c>
      <c r="M228" s="1">
        <v>87.3</v>
      </c>
      <c r="N228" s="1">
        <f t="shared" si="18"/>
        <v>849</v>
      </c>
      <c r="O228">
        <f t="shared" si="19"/>
        <v>162</v>
      </c>
      <c r="P228">
        <f t="shared" si="20"/>
        <v>210.8</v>
      </c>
      <c r="Q228">
        <f t="shared" si="21"/>
        <v>185.1</v>
      </c>
      <c r="R228">
        <f t="shared" si="22"/>
        <v>256.8</v>
      </c>
    </row>
    <row r="229" spans="1:18" x14ac:dyDescent="0.2">
      <c r="A229" s="1">
        <v>1998</v>
      </c>
      <c r="B229" s="1">
        <v>52.6</v>
      </c>
      <c r="C229" s="1">
        <v>22.1</v>
      </c>
      <c r="D229" s="1">
        <v>44.9</v>
      </c>
      <c r="E229" s="1">
        <v>84.2</v>
      </c>
      <c r="F229" s="1">
        <v>41.7</v>
      </c>
      <c r="G229" s="1">
        <v>99.8</v>
      </c>
      <c r="H229" s="1">
        <v>39.6</v>
      </c>
      <c r="I229" s="1">
        <v>62.1</v>
      </c>
      <c r="J229" s="1">
        <v>114.8</v>
      </c>
      <c r="K229" s="1">
        <v>136.30000000000001</v>
      </c>
      <c r="L229" s="1">
        <v>107.6</v>
      </c>
      <c r="M229" s="1">
        <v>93.6</v>
      </c>
      <c r="N229" s="1">
        <f t="shared" si="18"/>
        <v>899.30000000000018</v>
      </c>
      <c r="O229">
        <f t="shared" si="19"/>
        <v>274.7</v>
      </c>
      <c r="P229">
        <f t="shared" si="20"/>
        <v>170.8</v>
      </c>
      <c r="Q229">
        <f t="shared" si="21"/>
        <v>201.5</v>
      </c>
      <c r="R229">
        <f t="shared" si="22"/>
        <v>358.70000000000005</v>
      </c>
    </row>
    <row r="230" spans="1:18" x14ac:dyDescent="0.2">
      <c r="A230" s="1">
        <v>1999</v>
      </c>
      <c r="B230" s="1">
        <v>60.4</v>
      </c>
      <c r="C230" s="1">
        <v>120.7</v>
      </c>
      <c r="D230" s="1">
        <v>59.1</v>
      </c>
      <c r="E230" s="1">
        <v>99.8</v>
      </c>
      <c r="F230" s="1">
        <v>63.7</v>
      </c>
      <c r="G230" s="1">
        <v>74.900000000000006</v>
      </c>
      <c r="H230" s="1">
        <v>99</v>
      </c>
      <c r="I230" s="1">
        <v>83.8</v>
      </c>
      <c r="J230" s="1">
        <v>100</v>
      </c>
      <c r="K230" s="1">
        <v>57.4</v>
      </c>
      <c r="L230" s="1">
        <v>136.5</v>
      </c>
      <c r="M230" s="1">
        <v>293.60000000000002</v>
      </c>
      <c r="N230" s="1">
        <f t="shared" si="18"/>
        <v>1248.9000000000001</v>
      </c>
      <c r="O230">
        <f t="shared" si="19"/>
        <v>400.6</v>
      </c>
      <c r="P230">
        <f t="shared" si="20"/>
        <v>222.60000000000002</v>
      </c>
      <c r="Q230">
        <f t="shared" si="21"/>
        <v>257.7</v>
      </c>
      <c r="R230">
        <f t="shared" si="22"/>
        <v>293.89999999999998</v>
      </c>
    </row>
    <row r="231" spans="1:18" x14ac:dyDescent="0.2">
      <c r="A231" s="1">
        <v>2000</v>
      </c>
      <c r="B231" s="1">
        <v>50.4</v>
      </c>
      <c r="C231" s="1">
        <v>56.6</v>
      </c>
      <c r="D231" s="1">
        <v>57.8</v>
      </c>
      <c r="E231" s="1">
        <v>50.3</v>
      </c>
      <c r="F231" s="1">
        <v>75</v>
      </c>
      <c r="G231" s="1">
        <v>22.6</v>
      </c>
      <c r="H231" s="1">
        <v>51.9</v>
      </c>
      <c r="I231" s="1">
        <v>16</v>
      </c>
      <c r="J231" s="1">
        <v>65.900000000000006</v>
      </c>
      <c r="K231" s="1">
        <v>89.8</v>
      </c>
      <c r="L231" s="1">
        <v>91.3</v>
      </c>
      <c r="M231" s="1">
        <v>93.5</v>
      </c>
      <c r="N231" s="1">
        <f t="shared" si="18"/>
        <v>721.09999999999991</v>
      </c>
      <c r="O231">
        <f t="shared" si="19"/>
        <v>250.2</v>
      </c>
      <c r="P231">
        <f t="shared" si="20"/>
        <v>183.1</v>
      </c>
      <c r="Q231">
        <f t="shared" si="21"/>
        <v>90.5</v>
      </c>
      <c r="R231">
        <f t="shared" si="22"/>
        <v>247</v>
      </c>
    </row>
    <row r="232" spans="1:18" x14ac:dyDescent="0.2">
      <c r="A232" s="1">
        <v>2001</v>
      </c>
      <c r="B232" s="1">
        <v>105</v>
      </c>
      <c r="C232" s="1">
        <v>51.7</v>
      </c>
      <c r="D232" s="1">
        <v>69.5</v>
      </c>
      <c r="E232" s="1">
        <v>117.5</v>
      </c>
      <c r="F232" s="1">
        <v>74.5</v>
      </c>
      <c r="G232" s="1">
        <v>120.3</v>
      </c>
      <c r="H232" s="1">
        <v>64.8</v>
      </c>
      <c r="I232" s="1">
        <v>71.2</v>
      </c>
      <c r="J232" s="1">
        <v>231.5</v>
      </c>
      <c r="K232" s="1">
        <v>36.9</v>
      </c>
      <c r="L232" s="1">
        <v>153.9</v>
      </c>
      <c r="M232" s="1">
        <v>45.1</v>
      </c>
      <c r="N232" s="1">
        <f t="shared" si="18"/>
        <v>1141.8999999999999</v>
      </c>
      <c r="O232">
        <f t="shared" si="19"/>
        <v>111.1</v>
      </c>
      <c r="P232">
        <f t="shared" si="20"/>
        <v>261.5</v>
      </c>
      <c r="Q232">
        <f t="shared" si="21"/>
        <v>256.3</v>
      </c>
      <c r="R232">
        <f t="shared" si="22"/>
        <v>422.29999999999995</v>
      </c>
    </row>
    <row r="233" spans="1:18" x14ac:dyDescent="0.2">
      <c r="A233" s="1">
        <v>2002</v>
      </c>
      <c r="B233" s="1">
        <v>40.9</v>
      </c>
      <c r="C233" s="1">
        <v>25.1</v>
      </c>
      <c r="D233" s="1">
        <v>45.5</v>
      </c>
      <c r="E233" s="1">
        <v>114.5</v>
      </c>
      <c r="F233" s="1">
        <v>85.9</v>
      </c>
      <c r="G233" s="1">
        <v>51.4</v>
      </c>
      <c r="H233" s="1">
        <v>76.900000000000006</v>
      </c>
      <c r="I233" s="1">
        <v>91.3</v>
      </c>
      <c r="J233" s="1">
        <v>196.9</v>
      </c>
      <c r="K233" s="1">
        <v>118.1</v>
      </c>
      <c r="L233" s="1">
        <v>49.8</v>
      </c>
      <c r="M233" s="1">
        <v>70.8</v>
      </c>
      <c r="N233" s="1">
        <f t="shared" si="18"/>
        <v>967.0999999999998</v>
      </c>
      <c r="O233">
        <f t="shared" si="19"/>
        <v>223.7</v>
      </c>
      <c r="P233">
        <f t="shared" si="20"/>
        <v>245.9</v>
      </c>
      <c r="Q233">
        <f t="shared" si="21"/>
        <v>219.60000000000002</v>
      </c>
      <c r="R233">
        <f t="shared" si="22"/>
        <v>364.8</v>
      </c>
    </row>
    <row r="234" spans="1:18" x14ac:dyDescent="0.2">
      <c r="A234" s="1">
        <v>2003</v>
      </c>
      <c r="B234" s="1">
        <v>109.8</v>
      </c>
      <c r="C234" s="1">
        <v>43.1</v>
      </c>
      <c r="D234" s="1">
        <v>1.9</v>
      </c>
      <c r="E234" s="1">
        <v>31.4</v>
      </c>
      <c r="F234" s="1">
        <v>49.1</v>
      </c>
      <c r="G234" s="1">
        <v>95</v>
      </c>
      <c r="H234" s="1">
        <v>64.900000000000006</v>
      </c>
      <c r="I234" s="1">
        <v>7.2</v>
      </c>
      <c r="J234" s="1">
        <v>78.7</v>
      </c>
      <c r="K234" s="1">
        <v>211.3</v>
      </c>
      <c r="L234" s="1">
        <v>35.1</v>
      </c>
      <c r="M234" s="1">
        <v>63.5</v>
      </c>
      <c r="N234" s="1">
        <f t="shared" si="18"/>
        <v>791.00000000000011</v>
      </c>
      <c r="O234">
        <f t="shared" si="19"/>
        <v>223.5</v>
      </c>
      <c r="P234">
        <f t="shared" si="20"/>
        <v>82.4</v>
      </c>
      <c r="Q234">
        <f t="shared" si="21"/>
        <v>167.1</v>
      </c>
      <c r="R234">
        <f t="shared" si="22"/>
        <v>325.10000000000002</v>
      </c>
    </row>
    <row r="235" spans="1:18" x14ac:dyDescent="0.2">
      <c r="A235" s="1">
        <v>2004</v>
      </c>
      <c r="B235" s="1">
        <v>93.7</v>
      </c>
      <c r="C235" s="1">
        <v>66.3</v>
      </c>
      <c r="D235" s="1">
        <v>51.4</v>
      </c>
      <c r="E235" s="1">
        <v>115</v>
      </c>
      <c r="F235" s="1">
        <v>95.5</v>
      </c>
      <c r="G235" s="1">
        <v>81.400000000000006</v>
      </c>
      <c r="H235" s="1">
        <v>139.9</v>
      </c>
      <c r="I235" s="1">
        <v>39.1</v>
      </c>
      <c r="J235" s="1">
        <v>66.8</v>
      </c>
      <c r="K235" s="1">
        <v>50.7</v>
      </c>
      <c r="L235" s="1">
        <v>156.1</v>
      </c>
      <c r="M235" s="1">
        <v>91.6</v>
      </c>
      <c r="N235" s="1">
        <f t="shared" si="18"/>
        <v>1047.5</v>
      </c>
      <c r="O235">
        <f t="shared" si="19"/>
        <v>330.29999999999995</v>
      </c>
      <c r="P235">
        <f t="shared" si="20"/>
        <v>261.89999999999998</v>
      </c>
      <c r="Q235">
        <f t="shared" si="21"/>
        <v>260.40000000000003</v>
      </c>
      <c r="R235">
        <f t="shared" si="22"/>
        <v>273.60000000000002</v>
      </c>
    </row>
    <row r="236" spans="1:18" x14ac:dyDescent="0.2">
      <c r="A236" s="1">
        <v>2005</v>
      </c>
      <c r="B236" s="1">
        <v>63.5</v>
      </c>
      <c r="C236" s="1">
        <v>175.2</v>
      </c>
      <c r="D236" s="1">
        <v>73.900000000000006</v>
      </c>
      <c r="E236" s="1">
        <v>70.2</v>
      </c>
      <c r="F236" s="1">
        <v>110.5</v>
      </c>
      <c r="G236" s="1">
        <v>78.7</v>
      </c>
      <c r="H236" s="1">
        <v>108.8</v>
      </c>
      <c r="I236" s="1">
        <v>140.80000000000001</v>
      </c>
      <c r="J236" s="1">
        <v>102.4</v>
      </c>
      <c r="K236" s="1">
        <v>27.8</v>
      </c>
      <c r="L236" s="1">
        <v>67</v>
      </c>
      <c r="M236" s="1">
        <v>133.69999999999999</v>
      </c>
      <c r="N236" s="1">
        <f t="shared" si="18"/>
        <v>1152.4999999999998</v>
      </c>
      <c r="O236">
        <f t="shared" si="19"/>
        <v>224.29999999999998</v>
      </c>
      <c r="P236">
        <f t="shared" si="20"/>
        <v>254.60000000000002</v>
      </c>
      <c r="Q236">
        <f t="shared" si="21"/>
        <v>328.3</v>
      </c>
      <c r="R236">
        <f t="shared" si="22"/>
        <v>197.20000000000002</v>
      </c>
    </row>
    <row r="237" spans="1:18" x14ac:dyDescent="0.2">
      <c r="A237" s="1">
        <v>2006</v>
      </c>
      <c r="B237" s="1">
        <v>36.1</v>
      </c>
      <c r="C237" s="1">
        <v>54.5</v>
      </c>
      <c r="D237" s="1">
        <v>134.6</v>
      </c>
      <c r="E237" s="1">
        <v>76.7</v>
      </c>
      <c r="F237" s="1">
        <v>59.7</v>
      </c>
      <c r="G237" s="1">
        <v>78.5</v>
      </c>
      <c r="H237" s="1">
        <v>116.2</v>
      </c>
      <c r="I237" s="1">
        <v>173.4</v>
      </c>
      <c r="J237" s="1">
        <v>41.2</v>
      </c>
      <c r="K237" s="1">
        <v>80.599999999999994</v>
      </c>
      <c r="L237" s="1">
        <v>45.5</v>
      </c>
      <c r="M237" s="1">
        <v>63.9</v>
      </c>
      <c r="N237" s="1">
        <f t="shared" si="18"/>
        <v>960.9</v>
      </c>
      <c r="O237">
        <f t="shared" si="19"/>
        <v>195.10000000000002</v>
      </c>
      <c r="P237">
        <f t="shared" si="20"/>
        <v>271</v>
      </c>
      <c r="Q237">
        <f t="shared" si="21"/>
        <v>368.1</v>
      </c>
      <c r="R237">
        <f t="shared" si="22"/>
        <v>167.3</v>
      </c>
    </row>
    <row r="238" spans="1:18" x14ac:dyDescent="0.2">
      <c r="A238" s="1">
        <v>2007</v>
      </c>
      <c r="B238" s="1">
        <v>83.4</v>
      </c>
      <c r="C238" s="1">
        <v>47.8</v>
      </c>
      <c r="D238" s="1">
        <v>79.099999999999994</v>
      </c>
      <c r="E238" s="1">
        <v>19.399999999999999</v>
      </c>
      <c r="F238" s="1">
        <v>108.9</v>
      </c>
      <c r="G238" s="1">
        <v>58.2</v>
      </c>
      <c r="H238" s="1">
        <v>67.099999999999994</v>
      </c>
      <c r="I238" s="1">
        <v>25.3</v>
      </c>
      <c r="J238" s="1">
        <v>145.5</v>
      </c>
      <c r="K238" s="1">
        <v>138.69999999999999</v>
      </c>
      <c r="L238" s="1">
        <v>171.6</v>
      </c>
      <c r="M238" s="1">
        <v>51.2</v>
      </c>
      <c r="N238" s="1">
        <f t="shared" si="18"/>
        <v>996.20000000000016</v>
      </c>
      <c r="O238">
        <f t="shared" si="19"/>
        <v>92.8</v>
      </c>
      <c r="P238">
        <f t="shared" si="20"/>
        <v>207.4</v>
      </c>
      <c r="Q238">
        <f t="shared" si="21"/>
        <v>150.6</v>
      </c>
      <c r="R238">
        <f t="shared" si="22"/>
        <v>455.79999999999995</v>
      </c>
    </row>
    <row r="239" spans="1:18" x14ac:dyDescent="0.2">
      <c r="A239" s="1">
        <v>2008</v>
      </c>
      <c r="B239" s="1">
        <v>27.5</v>
      </c>
      <c r="C239" s="1">
        <v>14.1</v>
      </c>
      <c r="D239" s="1">
        <v>138.30000000000001</v>
      </c>
      <c r="E239" s="1">
        <v>60.7</v>
      </c>
      <c r="F239" s="1">
        <v>56.8</v>
      </c>
      <c r="G239" s="1">
        <v>84.2</v>
      </c>
      <c r="H239" s="1">
        <v>100.6</v>
      </c>
      <c r="I239" s="1">
        <v>40.9</v>
      </c>
      <c r="J239" s="1">
        <v>85.1</v>
      </c>
      <c r="K239" s="1">
        <v>59.8</v>
      </c>
      <c r="L239" s="1">
        <v>91.2</v>
      </c>
      <c r="M239" s="1">
        <v>76.099999999999994</v>
      </c>
      <c r="N239" s="1">
        <f>SUM(B239:M239)</f>
        <v>835.30000000000007</v>
      </c>
      <c r="O239">
        <f t="shared" si="19"/>
        <v>232</v>
      </c>
      <c r="P239">
        <f t="shared" si="20"/>
        <v>255.8</v>
      </c>
      <c r="Q239">
        <f t="shared" si="21"/>
        <v>225.70000000000002</v>
      </c>
      <c r="R239">
        <f t="shared" si="22"/>
        <v>236.09999999999997</v>
      </c>
    </row>
    <row r="240" spans="1:18" x14ac:dyDescent="0.2">
      <c r="A240" s="1">
        <v>2009</v>
      </c>
      <c r="B240" s="1">
        <v>102.2</v>
      </c>
      <c r="C240" s="1">
        <v>53.7</v>
      </c>
      <c r="D240" s="1">
        <v>83.6</v>
      </c>
      <c r="E240" s="1">
        <v>61.3</v>
      </c>
      <c r="F240" s="1">
        <v>63.5</v>
      </c>
      <c r="G240" s="1">
        <v>154.5</v>
      </c>
      <c r="H240" s="1">
        <v>86.1</v>
      </c>
      <c r="I240" s="1">
        <v>52.6</v>
      </c>
      <c r="J240" s="1">
        <v>20</v>
      </c>
      <c r="K240" s="1">
        <v>171.5</v>
      </c>
      <c r="L240" s="1">
        <v>64.099999999999994</v>
      </c>
      <c r="M240" s="1">
        <v>144.9</v>
      </c>
      <c r="N240" s="1">
        <f t="shared" si="18"/>
        <v>1058</v>
      </c>
      <c r="O240">
        <f t="shared" si="19"/>
        <v>402.1</v>
      </c>
      <c r="P240">
        <f t="shared" si="20"/>
        <v>208.39999999999998</v>
      </c>
      <c r="Q240">
        <f t="shared" si="21"/>
        <v>293.2</v>
      </c>
      <c r="R240">
        <f t="shared" si="22"/>
        <v>255.6</v>
      </c>
    </row>
    <row r="241" spans="1:18" x14ac:dyDescent="0.2">
      <c r="A241" s="1">
        <v>2010</v>
      </c>
      <c r="B241" s="1">
        <v>161.30000000000001</v>
      </c>
      <c r="C241" s="1">
        <v>95.9</v>
      </c>
      <c r="D241" s="1">
        <v>63.1</v>
      </c>
      <c r="E241" s="1">
        <v>59.1</v>
      </c>
      <c r="F241" s="1">
        <v>93.2</v>
      </c>
      <c r="G241" s="1">
        <v>181.5</v>
      </c>
      <c r="H241" s="1">
        <v>29.2</v>
      </c>
      <c r="I241" s="1">
        <v>44.2</v>
      </c>
      <c r="J241" s="1">
        <v>126.4</v>
      </c>
      <c r="K241" s="1">
        <v>81.099999999999994</v>
      </c>
      <c r="L241" s="1">
        <v>139.4</v>
      </c>
      <c r="M241" s="1">
        <v>112.7</v>
      </c>
      <c r="N241" s="1">
        <f t="shared" si="18"/>
        <v>1187.1000000000004</v>
      </c>
      <c r="O241">
        <f t="shared" si="19"/>
        <v>186.5</v>
      </c>
      <c r="P241">
        <f t="shared" si="20"/>
        <v>215.4</v>
      </c>
      <c r="Q241">
        <f t="shared" si="21"/>
        <v>254.89999999999998</v>
      </c>
      <c r="R241">
        <f t="shared" si="22"/>
        <v>346.9</v>
      </c>
    </row>
    <row r="242" spans="1:18" x14ac:dyDescent="0.2">
      <c r="A242" s="1">
        <v>2011</v>
      </c>
      <c r="B242" s="1">
        <v>37.9</v>
      </c>
      <c r="C242" s="1">
        <v>35.9</v>
      </c>
      <c r="D242" s="1">
        <v>40.700000000000003</v>
      </c>
      <c r="E242" s="1">
        <v>32.700000000000003</v>
      </c>
      <c r="F242" s="1">
        <v>103.6</v>
      </c>
      <c r="G242" s="1">
        <v>76.3</v>
      </c>
      <c r="H242" s="1">
        <v>134.4</v>
      </c>
      <c r="I242" s="1">
        <v>4.8</v>
      </c>
      <c r="J242" s="1">
        <v>38.9</v>
      </c>
      <c r="K242" s="1">
        <v>68.900000000000006</v>
      </c>
      <c r="L242" s="1">
        <v>24</v>
      </c>
      <c r="M242" s="1">
        <v>93.9</v>
      </c>
      <c r="N242" s="1">
        <f t="shared" si="18"/>
        <v>692</v>
      </c>
      <c r="O242">
        <f t="shared" si="19"/>
        <v>318.79999999999995</v>
      </c>
      <c r="P242">
        <f t="shared" si="20"/>
        <v>177</v>
      </c>
      <c r="Q242">
        <f t="shared" si="21"/>
        <v>215.5</v>
      </c>
      <c r="R242">
        <f t="shared" si="22"/>
        <v>131.80000000000001</v>
      </c>
    </row>
    <row r="243" spans="1:18" x14ac:dyDescent="0.2">
      <c r="A243" s="1">
        <v>2012</v>
      </c>
      <c r="B243" s="1">
        <v>81.3</v>
      </c>
      <c r="C243" s="1">
        <v>143.6</v>
      </c>
      <c r="D243" s="1">
        <v>13</v>
      </c>
      <c r="E243" s="1">
        <v>116.9</v>
      </c>
      <c r="F243" s="1">
        <v>144.9</v>
      </c>
      <c r="G243" s="1">
        <v>11.8</v>
      </c>
      <c r="H243" s="1">
        <v>37.299999999999997</v>
      </c>
      <c r="I243" s="1">
        <v>28.1</v>
      </c>
      <c r="J243" s="1">
        <v>89.9</v>
      </c>
      <c r="K243" s="1">
        <v>91</v>
      </c>
      <c r="L243" s="1">
        <v>35.700000000000003</v>
      </c>
      <c r="M243" s="1">
        <v>134.6</v>
      </c>
      <c r="N243" s="1">
        <f t="shared" si="18"/>
        <v>928.1</v>
      </c>
      <c r="O243">
        <f t="shared" si="19"/>
        <v>394.79999999999995</v>
      </c>
      <c r="P243">
        <f t="shared" si="20"/>
        <v>274.8</v>
      </c>
      <c r="Q243">
        <f t="shared" si="21"/>
        <v>77.199999999999989</v>
      </c>
      <c r="R243">
        <f t="shared" si="22"/>
        <v>216.60000000000002</v>
      </c>
    </row>
    <row r="244" spans="1:18" x14ac:dyDescent="0.2">
      <c r="A244" s="1">
        <v>2013</v>
      </c>
      <c r="B244" s="1">
        <v>128.30000000000001</v>
      </c>
      <c r="C244" s="1">
        <v>131.9</v>
      </c>
      <c r="D244" s="1">
        <v>88.7</v>
      </c>
      <c r="E244" s="1">
        <v>64.2</v>
      </c>
      <c r="F244" s="1">
        <v>136</v>
      </c>
      <c r="G244" s="1">
        <v>63.5</v>
      </c>
      <c r="H244" s="1">
        <v>27.3</v>
      </c>
      <c r="I244" s="1">
        <v>38.4</v>
      </c>
      <c r="J244" s="1">
        <v>77.400000000000006</v>
      </c>
      <c r="K244" s="1">
        <v>57</v>
      </c>
      <c r="L244" s="1">
        <v>113</v>
      </c>
      <c r="M244" s="1">
        <v>6</v>
      </c>
      <c r="N244" s="1">
        <f t="shared" si="18"/>
        <v>931.69999999999993</v>
      </c>
      <c r="O244">
        <f t="shared" si="19"/>
        <v>81.199999999999989</v>
      </c>
      <c r="P244">
        <f t="shared" si="20"/>
        <v>288.89999999999998</v>
      </c>
      <c r="Q244">
        <f t="shared" si="21"/>
        <v>129.19999999999999</v>
      </c>
      <c r="R244">
        <f t="shared" si="22"/>
        <v>247.4</v>
      </c>
    </row>
    <row r="245" spans="1:18" x14ac:dyDescent="0.2">
      <c r="A245" s="1">
        <v>2014</v>
      </c>
      <c r="B245" s="1">
        <v>55.3</v>
      </c>
      <c r="C245" s="1">
        <v>19.899999999999999</v>
      </c>
      <c r="D245" s="1">
        <v>67.3</v>
      </c>
      <c r="E245" s="1">
        <v>148.5</v>
      </c>
      <c r="F245" s="1">
        <v>186.2</v>
      </c>
      <c r="G245" s="1">
        <v>125.1</v>
      </c>
      <c r="H245" s="1">
        <v>73.3</v>
      </c>
      <c r="I245" s="1">
        <v>78.2</v>
      </c>
      <c r="J245" s="1">
        <v>139.5</v>
      </c>
      <c r="K245" s="1">
        <v>59</v>
      </c>
      <c r="L245" s="1">
        <v>47</v>
      </c>
      <c r="M245" s="1">
        <v>83.4</v>
      </c>
      <c r="N245" s="1">
        <f t="shared" si="18"/>
        <v>1082.7</v>
      </c>
      <c r="O245">
        <f t="shared" si="19"/>
        <v>252.6</v>
      </c>
      <c r="P245">
        <f t="shared" si="20"/>
        <v>402</v>
      </c>
      <c r="Q245">
        <f t="shared" si="21"/>
        <v>276.59999999999997</v>
      </c>
      <c r="R245">
        <f t="shared" si="22"/>
        <v>245.5</v>
      </c>
    </row>
    <row r="246" spans="1:18" x14ac:dyDescent="0.2">
      <c r="A246" s="1">
        <v>2015</v>
      </c>
      <c r="B246" s="1">
        <v>112.6</v>
      </c>
      <c r="C246" s="1">
        <v>56.6</v>
      </c>
      <c r="D246" s="1">
        <v>80.400000000000006</v>
      </c>
      <c r="E246" s="1">
        <v>43.6</v>
      </c>
      <c r="F246" s="1">
        <v>52.9</v>
      </c>
      <c r="G246" s="1">
        <v>91</v>
      </c>
      <c r="H246" s="1">
        <v>9.4</v>
      </c>
      <c r="I246" s="1">
        <v>57.4</v>
      </c>
      <c r="J246" s="1">
        <v>60.2</v>
      </c>
      <c r="K246" s="1">
        <v>124.6</v>
      </c>
      <c r="L246" s="1">
        <v>75.099999999999994</v>
      </c>
      <c r="M246" s="1">
        <v>2.5</v>
      </c>
      <c r="N246" s="1">
        <f t="shared" si="18"/>
        <v>766.3</v>
      </c>
      <c r="O246">
        <f t="shared" si="19"/>
        <v>136.1</v>
      </c>
      <c r="P246">
        <f t="shared" si="20"/>
        <v>176.9</v>
      </c>
      <c r="Q246">
        <f t="shared" si="21"/>
        <v>157.80000000000001</v>
      </c>
      <c r="R246">
        <f t="shared" si="22"/>
        <v>259.89999999999998</v>
      </c>
    </row>
    <row r="247" spans="1:18" x14ac:dyDescent="0.2">
      <c r="A247" s="1">
        <v>2016</v>
      </c>
      <c r="B247" s="1">
        <v>46.6</v>
      </c>
      <c r="C247" s="1">
        <v>87</v>
      </c>
      <c r="D247" s="1">
        <v>131.69999999999999</v>
      </c>
      <c r="E247" s="1">
        <v>60.5</v>
      </c>
      <c r="F247" s="1">
        <v>82.1</v>
      </c>
      <c r="G247" s="1">
        <v>96.4</v>
      </c>
      <c r="H247" s="1">
        <v>104.5</v>
      </c>
      <c r="I247" s="1">
        <v>105.5</v>
      </c>
      <c r="J247" s="1">
        <v>71.099999999999994</v>
      </c>
      <c r="K247" s="1">
        <v>112.8</v>
      </c>
      <c r="L247" s="1">
        <v>93.1</v>
      </c>
      <c r="M247" s="1">
        <v>16.8</v>
      </c>
      <c r="N247" s="1">
        <f t="shared" si="18"/>
        <v>1008.0999999999999</v>
      </c>
      <c r="O247">
        <f t="shared" si="19"/>
        <v>143.80000000000001</v>
      </c>
      <c r="P247">
        <f t="shared" si="20"/>
        <v>274.29999999999995</v>
      </c>
      <c r="Q247">
        <f t="shared" si="21"/>
        <v>306.39999999999998</v>
      </c>
      <c r="R247">
        <f t="shared" si="22"/>
        <v>277</v>
      </c>
    </row>
    <row r="248" spans="1:18" x14ac:dyDescent="0.2">
      <c r="A248" s="1">
        <v>2017</v>
      </c>
      <c r="B248" s="1">
        <v>57.9</v>
      </c>
      <c r="C248" s="1">
        <v>69.099999999999994</v>
      </c>
      <c r="D248" s="1">
        <v>43.6</v>
      </c>
      <c r="E248" s="1">
        <v>132.4</v>
      </c>
      <c r="F248" s="1">
        <v>73.8</v>
      </c>
      <c r="G248" s="1">
        <v>55</v>
      </c>
      <c r="H248" s="1">
        <v>66.5</v>
      </c>
      <c r="I248" s="1">
        <v>38.700000000000003</v>
      </c>
      <c r="J248" s="1">
        <v>93.2</v>
      </c>
      <c r="K248" s="1">
        <v>89.3</v>
      </c>
      <c r="L248" s="1">
        <v>74.900000000000006</v>
      </c>
      <c r="M248" s="1">
        <v>142.9</v>
      </c>
      <c r="N248" s="1">
        <f t="shared" si="18"/>
        <v>937.3</v>
      </c>
      <c r="O248">
        <f t="shared" si="19"/>
        <v>286.3</v>
      </c>
      <c r="P248">
        <f t="shared" si="20"/>
        <v>249.8</v>
      </c>
      <c r="Q248">
        <f t="shared" si="21"/>
        <v>160.19999999999999</v>
      </c>
      <c r="R248">
        <f t="shared" si="22"/>
        <v>257.39999999999998</v>
      </c>
    </row>
    <row r="249" spans="1:18" x14ac:dyDescent="0.2">
      <c r="A249" s="1">
        <v>2018</v>
      </c>
      <c r="B249" s="1">
        <v>66.7</v>
      </c>
      <c r="C249" s="1">
        <v>76.7</v>
      </c>
      <c r="D249" s="1">
        <v>109.8</v>
      </c>
      <c r="E249" s="1">
        <v>61.4</v>
      </c>
      <c r="F249" s="1">
        <v>178.1</v>
      </c>
      <c r="G249" s="1">
        <v>131.5</v>
      </c>
      <c r="H249" s="1">
        <v>119.6</v>
      </c>
      <c r="I249" s="1">
        <v>87.5</v>
      </c>
      <c r="J249" s="1">
        <v>25.9</v>
      </c>
      <c r="K249" s="1">
        <v>47.5</v>
      </c>
      <c r="L249" s="1">
        <v>54.7</v>
      </c>
      <c r="M249" s="1">
        <v>83.9</v>
      </c>
      <c r="N249" s="1">
        <v>1043.3</v>
      </c>
      <c r="O249">
        <f t="shared" si="19"/>
        <v>220.3</v>
      </c>
      <c r="P249">
        <f t="shared" si="20"/>
        <v>349.29999999999995</v>
      </c>
      <c r="Q249">
        <f t="shared" si="21"/>
        <v>338.6</v>
      </c>
      <c r="R249">
        <f t="shared" si="22"/>
        <v>128.10000000000002</v>
      </c>
    </row>
    <row r="250" spans="1:18" x14ac:dyDescent="0.2">
      <c r="A250" s="1">
        <v>2019</v>
      </c>
      <c r="B250" s="1">
        <v>79.7</v>
      </c>
      <c r="C250" s="1">
        <v>56.7</v>
      </c>
      <c r="D250" s="1">
        <v>51.8</v>
      </c>
      <c r="E250" s="1">
        <v>98.2</v>
      </c>
      <c r="F250" s="1">
        <v>102.3</v>
      </c>
      <c r="G250" s="1">
        <v>97.1</v>
      </c>
      <c r="H250" s="1">
        <v>67.8</v>
      </c>
      <c r="I250" s="1">
        <v>69.7</v>
      </c>
      <c r="J250" s="1">
        <v>44.1</v>
      </c>
      <c r="K250" s="1">
        <v>38</v>
      </c>
      <c r="L250" s="1">
        <v>80.3</v>
      </c>
      <c r="M250" s="1">
        <v>64.8</v>
      </c>
      <c r="N250" s="1">
        <v>850.5</v>
      </c>
      <c r="O250">
        <f t="shared" si="19"/>
        <v>159.9</v>
      </c>
      <c r="P250">
        <f t="shared" si="20"/>
        <v>252.3</v>
      </c>
      <c r="Q250">
        <f t="shared" si="21"/>
        <v>234.59999999999997</v>
      </c>
      <c r="R250">
        <f t="shared" si="22"/>
        <v>162.39999999999998</v>
      </c>
    </row>
    <row r="251" spans="1:18" x14ac:dyDescent="0.2">
      <c r="A251" s="1">
        <v>2020</v>
      </c>
      <c r="B251" s="1">
        <v>24.7</v>
      </c>
      <c r="C251" s="1">
        <v>70.400000000000006</v>
      </c>
      <c r="D251" s="1">
        <v>53</v>
      </c>
      <c r="E251" s="1">
        <v>23.1</v>
      </c>
      <c r="F251" s="1">
        <v>96.3</v>
      </c>
      <c r="G251" s="1">
        <v>92.1</v>
      </c>
      <c r="H251" s="1">
        <v>48.9</v>
      </c>
      <c r="I251" s="1">
        <v>74.400000000000006</v>
      </c>
      <c r="J251" s="1">
        <v>51.5</v>
      </c>
      <c r="K251" s="1">
        <v>91.6</v>
      </c>
      <c r="L251" s="1">
        <v>15.7</v>
      </c>
      <c r="M251" s="1">
        <v>143</v>
      </c>
      <c r="N251" s="1">
        <v>784.7</v>
      </c>
      <c r="P251">
        <f t="shared" si="20"/>
        <v>172.39999999999998</v>
      </c>
      <c r="Q251">
        <f t="shared" si="21"/>
        <v>215.4</v>
      </c>
      <c r="R251">
        <f t="shared" si="22"/>
        <v>158.79999999999998</v>
      </c>
    </row>
    <row r="252" spans="1:18" x14ac:dyDescent="0.2">
      <c r="N252" s="21">
        <f>AVERAGE(N192:N251)</f>
        <v>940.44666666666672</v>
      </c>
      <c r="O252" s="21">
        <f t="shared" ref="O252:R252" si="23">AVERAGE(O192:O251)</f>
        <v>224.0474576271186</v>
      </c>
      <c r="P252" s="21">
        <f t="shared" si="23"/>
        <v>229.4633333333332</v>
      </c>
      <c r="Q252" s="21">
        <f t="shared" si="23"/>
        <v>233.84333333333339</v>
      </c>
      <c r="R252" s="21">
        <f t="shared" si="23"/>
        <v>253.34499999999994</v>
      </c>
    </row>
    <row r="255" spans="1:18" x14ac:dyDescent="0.2">
      <c r="A255" s="1" t="s">
        <v>34</v>
      </c>
      <c r="B255" s="1" t="s">
        <v>17</v>
      </c>
      <c r="C255" s="1" t="s">
        <v>18</v>
      </c>
      <c r="D255" s="1" t="s">
        <v>19</v>
      </c>
      <c r="E255" s="1" t="s">
        <v>20</v>
      </c>
      <c r="F255" s="1" t="s">
        <v>21</v>
      </c>
      <c r="G255" s="1" t="s">
        <v>22</v>
      </c>
      <c r="H255" s="1" t="s">
        <v>23</v>
      </c>
      <c r="I255" s="1" t="s">
        <v>24</v>
      </c>
      <c r="J255" s="1" t="s">
        <v>25</v>
      </c>
      <c r="K255" s="1" t="s">
        <v>26</v>
      </c>
      <c r="L255" s="1" t="s">
        <v>27</v>
      </c>
      <c r="M255" s="1" t="s">
        <v>28</v>
      </c>
      <c r="N255" s="1" t="s">
        <v>29</v>
      </c>
      <c r="O255" s="3" t="s">
        <v>13</v>
      </c>
      <c r="P255" s="3" t="s">
        <v>14</v>
      </c>
      <c r="Q255" s="3" t="s">
        <v>15</v>
      </c>
      <c r="R255" s="3" t="s">
        <v>16</v>
      </c>
    </row>
    <row r="256" spans="1:18" x14ac:dyDescent="0.2">
      <c r="A256" s="1">
        <v>1961</v>
      </c>
      <c r="B256" s="1">
        <v>28</v>
      </c>
      <c r="C256" s="1">
        <v>23</v>
      </c>
      <c r="D256" s="1">
        <v>47</v>
      </c>
      <c r="E256" s="1">
        <v>45</v>
      </c>
      <c r="F256" s="1">
        <v>98</v>
      </c>
      <c r="G256" s="1">
        <v>58</v>
      </c>
      <c r="H256" s="1">
        <v>100</v>
      </c>
      <c r="I256" s="1">
        <v>19</v>
      </c>
      <c r="J256" s="1">
        <v>12</v>
      </c>
      <c r="K256" s="1">
        <v>250</v>
      </c>
      <c r="L256" s="1">
        <v>231</v>
      </c>
      <c r="M256" s="1">
        <v>61</v>
      </c>
      <c r="N256" s="1">
        <f>SUM(B256:M256)</f>
        <v>972</v>
      </c>
      <c r="O256">
        <f>SUM(M256,B257,C257)</f>
        <v>149</v>
      </c>
      <c r="P256">
        <f>SUM(D256:F256)</f>
        <v>190</v>
      </c>
      <c r="Q256">
        <f>SUM(G256:I256)</f>
        <v>177</v>
      </c>
      <c r="R256">
        <f>SUM(J256:L256)</f>
        <v>493</v>
      </c>
    </row>
    <row r="257" spans="1:18" x14ac:dyDescent="0.2">
      <c r="A257" s="1">
        <v>1962</v>
      </c>
      <c r="B257" s="1">
        <v>38</v>
      </c>
      <c r="C257" s="1">
        <v>50</v>
      </c>
      <c r="D257" s="1">
        <v>118</v>
      </c>
      <c r="E257" s="1">
        <v>38</v>
      </c>
      <c r="F257" s="1">
        <v>26</v>
      </c>
      <c r="G257" s="1">
        <v>62</v>
      </c>
      <c r="H257" s="1">
        <v>63</v>
      </c>
      <c r="I257" s="1">
        <v>6</v>
      </c>
      <c r="J257" s="1">
        <v>83</v>
      </c>
      <c r="K257" s="1">
        <v>44</v>
      </c>
      <c r="L257" s="1">
        <v>191</v>
      </c>
      <c r="M257" s="1">
        <v>93</v>
      </c>
      <c r="N257" s="1">
        <f>SUM(B257:M257)</f>
        <v>812</v>
      </c>
      <c r="O257">
        <f t="shared" ref="O257:O314" si="24">SUM(M257,B258,C258)</f>
        <v>366</v>
      </c>
      <c r="P257">
        <f t="shared" ref="P257:P315" si="25">SUM(D257:F257)</f>
        <v>182</v>
      </c>
      <c r="Q257">
        <f t="shared" ref="Q257:Q315" si="26">SUM(G257:I257)</f>
        <v>131</v>
      </c>
      <c r="R257">
        <f t="shared" ref="R257:R315" si="27">SUM(J257:L257)</f>
        <v>318</v>
      </c>
    </row>
    <row r="258" spans="1:18" x14ac:dyDescent="0.2">
      <c r="A258" s="1">
        <v>1963</v>
      </c>
      <c r="B258" s="1">
        <v>155</v>
      </c>
      <c r="C258" s="1">
        <v>118</v>
      </c>
      <c r="D258" s="1">
        <v>45</v>
      </c>
      <c r="E258" s="1">
        <v>55</v>
      </c>
      <c r="F258" s="1">
        <v>172</v>
      </c>
      <c r="G258" s="1">
        <v>102</v>
      </c>
      <c r="H258" s="1">
        <v>108</v>
      </c>
      <c r="I258" s="1">
        <v>110</v>
      </c>
      <c r="J258" s="1">
        <v>90</v>
      </c>
      <c r="K258" s="1">
        <v>61</v>
      </c>
      <c r="L258" s="1">
        <v>118</v>
      </c>
      <c r="M258" s="1">
        <v>87</v>
      </c>
      <c r="N258" s="1">
        <f t="shared" ref="N258:N312" si="28">SUM(B258:M258)</f>
        <v>1221</v>
      </c>
      <c r="O258">
        <f t="shared" si="24"/>
        <v>137</v>
      </c>
      <c r="P258">
        <f t="shared" si="25"/>
        <v>272</v>
      </c>
      <c r="Q258">
        <f t="shared" si="26"/>
        <v>320</v>
      </c>
      <c r="R258">
        <f t="shared" si="27"/>
        <v>269</v>
      </c>
    </row>
    <row r="259" spans="1:18" x14ac:dyDescent="0.2">
      <c r="A259" s="1">
        <v>1964</v>
      </c>
      <c r="B259" s="1">
        <v>10</v>
      </c>
      <c r="C259" s="1">
        <v>40</v>
      </c>
      <c r="D259" s="1">
        <v>56</v>
      </c>
      <c r="E259" s="1">
        <v>38</v>
      </c>
      <c r="F259" s="1">
        <v>44</v>
      </c>
      <c r="G259" s="1">
        <v>219</v>
      </c>
      <c r="H259" s="1">
        <v>129</v>
      </c>
      <c r="I259" s="1">
        <v>102</v>
      </c>
      <c r="J259" s="1">
        <v>114</v>
      </c>
      <c r="K259" s="1">
        <v>313</v>
      </c>
      <c r="L259" s="1">
        <v>138</v>
      </c>
      <c r="M259" s="1">
        <v>189</v>
      </c>
      <c r="N259" s="1">
        <f t="shared" si="28"/>
        <v>1392</v>
      </c>
      <c r="O259">
        <f t="shared" si="24"/>
        <v>274</v>
      </c>
      <c r="P259">
        <f t="shared" si="25"/>
        <v>138</v>
      </c>
      <c r="Q259">
        <f t="shared" si="26"/>
        <v>450</v>
      </c>
      <c r="R259">
        <f t="shared" si="27"/>
        <v>565</v>
      </c>
    </row>
    <row r="260" spans="1:18" x14ac:dyDescent="0.2">
      <c r="A260" s="1">
        <v>1965</v>
      </c>
      <c r="B260" s="1">
        <v>34</v>
      </c>
      <c r="C260" s="1">
        <v>51</v>
      </c>
      <c r="D260" s="1">
        <v>79</v>
      </c>
      <c r="E260" s="1">
        <v>72</v>
      </c>
      <c r="F260" s="1">
        <v>94</v>
      </c>
      <c r="G260" s="1">
        <v>112</v>
      </c>
      <c r="H260" s="1">
        <v>17</v>
      </c>
      <c r="I260" s="1">
        <v>78</v>
      </c>
      <c r="J260" s="1">
        <v>129</v>
      </c>
      <c r="K260" s="1">
        <v>3</v>
      </c>
      <c r="L260" s="1">
        <v>80</v>
      </c>
      <c r="M260" s="1">
        <v>62</v>
      </c>
      <c r="N260" s="1">
        <f t="shared" si="28"/>
        <v>811</v>
      </c>
      <c r="O260">
        <f t="shared" si="24"/>
        <v>117</v>
      </c>
      <c r="P260">
        <f t="shared" si="25"/>
        <v>245</v>
      </c>
      <c r="Q260">
        <f t="shared" si="26"/>
        <v>207</v>
      </c>
      <c r="R260">
        <f t="shared" si="27"/>
        <v>212</v>
      </c>
    </row>
    <row r="261" spans="1:18" x14ac:dyDescent="0.2">
      <c r="A261" s="1">
        <v>1966</v>
      </c>
      <c r="B261" s="1">
        <v>38</v>
      </c>
      <c r="C261" s="1">
        <v>17</v>
      </c>
      <c r="D261" s="1">
        <v>80</v>
      </c>
      <c r="E261" s="1">
        <v>63</v>
      </c>
      <c r="F261" s="1">
        <v>90</v>
      </c>
      <c r="G261" s="1">
        <v>94</v>
      </c>
      <c r="H261" s="1">
        <v>105</v>
      </c>
      <c r="I261" s="1">
        <v>74</v>
      </c>
      <c r="J261" s="1">
        <v>84</v>
      </c>
      <c r="K261" s="1">
        <v>144</v>
      </c>
      <c r="L261" s="1">
        <v>108</v>
      </c>
      <c r="M261" s="1">
        <v>82</v>
      </c>
      <c r="N261" s="1">
        <f t="shared" si="28"/>
        <v>979</v>
      </c>
      <c r="O261">
        <f t="shared" si="24"/>
        <v>224</v>
      </c>
      <c r="P261">
        <f t="shared" si="25"/>
        <v>233</v>
      </c>
      <c r="Q261">
        <f t="shared" si="26"/>
        <v>273</v>
      </c>
      <c r="R261">
        <f t="shared" si="27"/>
        <v>336</v>
      </c>
    </row>
    <row r="262" spans="1:18" x14ac:dyDescent="0.2">
      <c r="A262" s="1">
        <v>1967</v>
      </c>
      <c r="B262" s="1">
        <v>123</v>
      </c>
      <c r="C262" s="1">
        <v>19</v>
      </c>
      <c r="D262" s="1">
        <v>60</v>
      </c>
      <c r="E262" s="1">
        <v>60</v>
      </c>
      <c r="F262" s="1">
        <v>63</v>
      </c>
      <c r="G262" s="1">
        <v>117</v>
      </c>
      <c r="H262" s="1">
        <v>99</v>
      </c>
      <c r="I262" s="1">
        <v>22</v>
      </c>
      <c r="J262" s="1">
        <v>57</v>
      </c>
      <c r="K262" s="1">
        <v>43</v>
      </c>
      <c r="L262" s="1">
        <v>67</v>
      </c>
      <c r="M262" s="1">
        <v>66</v>
      </c>
      <c r="N262" s="1">
        <f t="shared" si="28"/>
        <v>796</v>
      </c>
      <c r="O262">
        <f t="shared" si="24"/>
        <v>168</v>
      </c>
      <c r="P262">
        <f t="shared" si="25"/>
        <v>183</v>
      </c>
      <c r="Q262">
        <f t="shared" si="26"/>
        <v>238</v>
      </c>
      <c r="R262">
        <f t="shared" si="27"/>
        <v>167</v>
      </c>
    </row>
    <row r="263" spans="1:18" x14ac:dyDescent="0.2">
      <c r="A263" s="1">
        <v>1968</v>
      </c>
      <c r="B263" s="1">
        <v>52</v>
      </c>
      <c r="C263" s="1">
        <v>50</v>
      </c>
      <c r="D263" s="1">
        <v>32</v>
      </c>
      <c r="E263" s="1">
        <v>21</v>
      </c>
      <c r="F263" s="1">
        <v>72</v>
      </c>
      <c r="G263" s="1">
        <v>122</v>
      </c>
      <c r="H263" s="1">
        <v>66</v>
      </c>
      <c r="I263" s="1">
        <v>141</v>
      </c>
      <c r="J263" s="1">
        <v>73</v>
      </c>
      <c r="K263" s="1">
        <v>75</v>
      </c>
      <c r="L263" s="1">
        <v>154</v>
      </c>
      <c r="M263" s="1">
        <v>81</v>
      </c>
      <c r="N263" s="1">
        <f t="shared" si="28"/>
        <v>939</v>
      </c>
      <c r="O263">
        <f t="shared" si="24"/>
        <v>205</v>
      </c>
      <c r="P263">
        <f t="shared" si="25"/>
        <v>125</v>
      </c>
      <c r="Q263">
        <f t="shared" si="26"/>
        <v>329</v>
      </c>
      <c r="R263">
        <f t="shared" si="27"/>
        <v>302</v>
      </c>
    </row>
    <row r="264" spans="1:18" x14ac:dyDescent="0.2">
      <c r="A264" s="1">
        <v>1969</v>
      </c>
      <c r="B264" s="1">
        <v>36</v>
      </c>
      <c r="C264" s="1">
        <v>88</v>
      </c>
      <c r="D264" s="1">
        <v>42</v>
      </c>
      <c r="E264" s="1">
        <v>44</v>
      </c>
      <c r="F264" s="1">
        <v>54</v>
      </c>
      <c r="G264" s="1">
        <v>132</v>
      </c>
      <c r="H264" s="1">
        <v>92</v>
      </c>
      <c r="I264" s="1">
        <v>205</v>
      </c>
      <c r="J264" s="1">
        <v>148</v>
      </c>
      <c r="K264" s="1">
        <v>0</v>
      </c>
      <c r="L264" s="1">
        <v>84</v>
      </c>
      <c r="M264" s="1">
        <v>65</v>
      </c>
      <c r="N264" s="1">
        <f t="shared" si="28"/>
        <v>990</v>
      </c>
      <c r="O264">
        <f t="shared" si="24"/>
        <v>224</v>
      </c>
      <c r="P264">
        <f t="shared" si="25"/>
        <v>140</v>
      </c>
      <c r="Q264">
        <f t="shared" si="26"/>
        <v>429</v>
      </c>
      <c r="R264">
        <f t="shared" si="27"/>
        <v>232</v>
      </c>
    </row>
    <row r="265" spans="1:18" x14ac:dyDescent="0.2">
      <c r="A265" s="1">
        <v>1970</v>
      </c>
      <c r="B265" s="1">
        <v>81</v>
      </c>
      <c r="C265" s="1">
        <v>78</v>
      </c>
      <c r="D265" s="1">
        <v>41</v>
      </c>
      <c r="E265" s="1">
        <v>39</v>
      </c>
      <c r="F265" s="1">
        <v>69</v>
      </c>
      <c r="G265" s="1">
        <v>86</v>
      </c>
      <c r="H265" s="1">
        <v>53</v>
      </c>
      <c r="I265" s="1">
        <v>88</v>
      </c>
      <c r="J265" s="1">
        <v>26</v>
      </c>
      <c r="K265" s="1">
        <v>82</v>
      </c>
      <c r="L265" s="1">
        <v>76</v>
      </c>
      <c r="M265" s="1">
        <v>65</v>
      </c>
      <c r="N265" s="1">
        <f t="shared" si="28"/>
        <v>784</v>
      </c>
      <c r="O265">
        <f t="shared" si="24"/>
        <v>170</v>
      </c>
      <c r="P265">
        <f t="shared" si="25"/>
        <v>149</v>
      </c>
      <c r="Q265">
        <f t="shared" si="26"/>
        <v>227</v>
      </c>
      <c r="R265">
        <f t="shared" si="27"/>
        <v>184</v>
      </c>
    </row>
    <row r="266" spans="1:18" x14ac:dyDescent="0.2">
      <c r="A266" s="1">
        <v>1971</v>
      </c>
      <c r="B266" s="1">
        <v>61</v>
      </c>
      <c r="C266" s="1">
        <v>44</v>
      </c>
      <c r="D266" s="1">
        <v>44</v>
      </c>
      <c r="E266" s="1">
        <v>29</v>
      </c>
      <c r="F266" s="1">
        <v>30</v>
      </c>
      <c r="G266" s="1">
        <v>62</v>
      </c>
      <c r="H266" s="1">
        <v>48</v>
      </c>
      <c r="I266" s="1">
        <v>50</v>
      </c>
      <c r="J266" s="1">
        <v>164</v>
      </c>
      <c r="K266" s="1">
        <v>85</v>
      </c>
      <c r="L266" s="1">
        <v>66</v>
      </c>
      <c r="M266" s="1">
        <v>9</v>
      </c>
      <c r="N266" s="1">
        <f t="shared" si="28"/>
        <v>692</v>
      </c>
      <c r="O266">
        <f t="shared" si="24"/>
        <v>58</v>
      </c>
      <c r="P266">
        <f t="shared" si="25"/>
        <v>103</v>
      </c>
      <c r="Q266">
        <f t="shared" si="26"/>
        <v>160</v>
      </c>
      <c r="R266">
        <f t="shared" si="27"/>
        <v>315</v>
      </c>
    </row>
    <row r="267" spans="1:18" x14ac:dyDescent="0.2">
      <c r="A267" s="1">
        <v>1972</v>
      </c>
      <c r="B267" s="1">
        <v>21</v>
      </c>
      <c r="C267" s="1">
        <v>28</v>
      </c>
      <c r="D267" s="1">
        <v>12</v>
      </c>
      <c r="E267" s="1">
        <v>76</v>
      </c>
      <c r="F267" s="1">
        <v>82</v>
      </c>
      <c r="G267" s="1">
        <v>49</v>
      </c>
      <c r="H267" s="1">
        <v>222</v>
      </c>
      <c r="I267" s="1">
        <v>128</v>
      </c>
      <c r="J267" s="1">
        <v>95</v>
      </c>
      <c r="K267" s="1">
        <v>42</v>
      </c>
      <c r="L267" s="1">
        <v>44</v>
      </c>
      <c r="M267" s="1">
        <v>5</v>
      </c>
      <c r="N267" s="1">
        <f t="shared" si="28"/>
        <v>804</v>
      </c>
      <c r="O267">
        <f t="shared" si="24"/>
        <v>109</v>
      </c>
      <c r="P267">
        <f t="shared" si="25"/>
        <v>170</v>
      </c>
      <c r="Q267">
        <f t="shared" si="26"/>
        <v>399</v>
      </c>
      <c r="R267">
        <f t="shared" si="27"/>
        <v>181</v>
      </c>
    </row>
    <row r="268" spans="1:18" x14ac:dyDescent="0.2">
      <c r="A268" s="1">
        <v>1973</v>
      </c>
      <c r="B268" s="1">
        <v>40</v>
      </c>
      <c r="C268" s="1">
        <v>64</v>
      </c>
      <c r="D268" s="1">
        <v>39</v>
      </c>
      <c r="E268" s="1">
        <v>51</v>
      </c>
      <c r="F268" s="1">
        <v>12</v>
      </c>
      <c r="G268" s="1">
        <v>57</v>
      </c>
      <c r="H268" s="1">
        <v>77</v>
      </c>
      <c r="I268" s="1">
        <v>129</v>
      </c>
      <c r="J268" s="1">
        <v>79</v>
      </c>
      <c r="K268" s="1">
        <v>119</v>
      </c>
      <c r="L268" s="1">
        <v>47</v>
      </c>
      <c r="M268" s="1">
        <v>74</v>
      </c>
      <c r="N268" s="1">
        <f t="shared" si="28"/>
        <v>788</v>
      </c>
      <c r="O268">
        <f t="shared" si="24"/>
        <v>143</v>
      </c>
      <c r="P268">
        <f t="shared" si="25"/>
        <v>102</v>
      </c>
      <c r="Q268">
        <f t="shared" si="26"/>
        <v>263</v>
      </c>
      <c r="R268">
        <f t="shared" si="27"/>
        <v>245</v>
      </c>
    </row>
    <row r="269" spans="1:18" x14ac:dyDescent="0.2">
      <c r="A269" s="1">
        <v>1974</v>
      </c>
      <c r="B269" s="1">
        <v>22</v>
      </c>
      <c r="C269" s="1">
        <v>47</v>
      </c>
      <c r="D269" s="1">
        <v>63</v>
      </c>
      <c r="E269" s="1">
        <v>80</v>
      </c>
      <c r="F269" s="1">
        <v>66</v>
      </c>
      <c r="G269" s="1">
        <v>87</v>
      </c>
      <c r="H269" s="1">
        <v>16</v>
      </c>
      <c r="I269" s="1">
        <v>97</v>
      </c>
      <c r="J269" s="1">
        <v>82</v>
      </c>
      <c r="K269" s="1">
        <v>261</v>
      </c>
      <c r="L269" s="1">
        <v>27</v>
      </c>
      <c r="M269" s="1">
        <v>39</v>
      </c>
      <c r="N269" s="1">
        <f t="shared" si="28"/>
        <v>887</v>
      </c>
      <c r="O269">
        <f t="shared" si="24"/>
        <v>72</v>
      </c>
      <c r="P269">
        <f t="shared" si="25"/>
        <v>209</v>
      </c>
      <c r="Q269">
        <f t="shared" si="26"/>
        <v>200</v>
      </c>
      <c r="R269">
        <f t="shared" si="27"/>
        <v>370</v>
      </c>
    </row>
    <row r="270" spans="1:18" x14ac:dyDescent="0.2">
      <c r="A270" s="1">
        <v>1975</v>
      </c>
      <c r="B270" s="1">
        <v>15</v>
      </c>
      <c r="C270" s="1">
        <v>18</v>
      </c>
      <c r="D270" s="1">
        <v>76</v>
      </c>
      <c r="E270" s="1">
        <v>88</v>
      </c>
      <c r="F270" s="1">
        <v>97</v>
      </c>
      <c r="G270" s="1">
        <v>86</v>
      </c>
      <c r="H270" s="1">
        <v>82</v>
      </c>
      <c r="I270" s="1">
        <v>134</v>
      </c>
      <c r="J270" s="1">
        <v>45</v>
      </c>
      <c r="K270" s="1">
        <v>146</v>
      </c>
      <c r="L270" s="1">
        <v>90</v>
      </c>
      <c r="M270" s="1">
        <v>41</v>
      </c>
      <c r="N270" s="1">
        <f t="shared" si="28"/>
        <v>918</v>
      </c>
      <c r="O270">
        <f t="shared" si="24"/>
        <v>175</v>
      </c>
      <c r="P270">
        <f t="shared" si="25"/>
        <v>261</v>
      </c>
      <c r="Q270">
        <f t="shared" si="26"/>
        <v>302</v>
      </c>
      <c r="R270">
        <f t="shared" si="27"/>
        <v>281</v>
      </c>
    </row>
    <row r="271" spans="1:18" x14ac:dyDescent="0.2">
      <c r="A271" s="1">
        <v>1976</v>
      </c>
      <c r="B271" s="1">
        <v>111</v>
      </c>
      <c r="C271" s="1">
        <v>23</v>
      </c>
      <c r="D271" s="1">
        <v>64</v>
      </c>
      <c r="E271" s="1">
        <v>92</v>
      </c>
      <c r="F271" s="1">
        <v>105</v>
      </c>
      <c r="G271" s="1">
        <v>178</v>
      </c>
      <c r="H271" s="1">
        <v>132</v>
      </c>
      <c r="I271" s="1">
        <v>100</v>
      </c>
      <c r="J271" s="1">
        <v>144</v>
      </c>
      <c r="K271" s="1">
        <v>236</v>
      </c>
      <c r="L271" s="1">
        <v>158</v>
      </c>
      <c r="M271" s="1">
        <v>125</v>
      </c>
      <c r="N271" s="1">
        <f t="shared" si="28"/>
        <v>1468</v>
      </c>
      <c r="O271">
        <f t="shared" si="24"/>
        <v>393</v>
      </c>
      <c r="P271">
        <f t="shared" si="25"/>
        <v>261</v>
      </c>
      <c r="Q271">
        <f t="shared" si="26"/>
        <v>410</v>
      </c>
      <c r="R271">
        <f t="shared" si="27"/>
        <v>538</v>
      </c>
    </row>
    <row r="272" spans="1:18" x14ac:dyDescent="0.2">
      <c r="A272" s="1">
        <v>1977</v>
      </c>
      <c r="B272" s="1">
        <v>106</v>
      </c>
      <c r="C272" s="1">
        <v>162</v>
      </c>
      <c r="D272" s="1">
        <v>80</v>
      </c>
      <c r="E272" s="1">
        <v>120</v>
      </c>
      <c r="F272" s="1">
        <v>92</v>
      </c>
      <c r="G272" s="1">
        <v>82</v>
      </c>
      <c r="H272" s="1">
        <v>118</v>
      </c>
      <c r="I272" s="1">
        <v>159</v>
      </c>
      <c r="J272" s="1">
        <v>211</v>
      </c>
      <c r="K272" s="1">
        <v>80</v>
      </c>
      <c r="L272" s="1">
        <v>174</v>
      </c>
      <c r="M272" s="1">
        <v>131</v>
      </c>
      <c r="N272" s="1">
        <f t="shared" si="28"/>
        <v>1515</v>
      </c>
      <c r="O272">
        <f t="shared" si="24"/>
        <v>421</v>
      </c>
      <c r="P272">
        <f t="shared" si="25"/>
        <v>292</v>
      </c>
      <c r="Q272">
        <f t="shared" si="26"/>
        <v>359</v>
      </c>
      <c r="R272">
        <f t="shared" si="27"/>
        <v>465</v>
      </c>
    </row>
    <row r="273" spans="1:18" x14ac:dyDescent="0.2">
      <c r="A273" s="1">
        <v>1978</v>
      </c>
      <c r="B273" s="1">
        <v>143</v>
      </c>
      <c r="C273" s="1">
        <v>147</v>
      </c>
      <c r="D273" s="1">
        <v>180</v>
      </c>
      <c r="E273" s="1">
        <v>166</v>
      </c>
      <c r="F273" s="1">
        <v>210</v>
      </c>
      <c r="G273" s="1">
        <v>166</v>
      </c>
      <c r="H273" s="1">
        <v>47</v>
      </c>
      <c r="I273" s="1">
        <v>105</v>
      </c>
      <c r="J273" s="1">
        <v>160</v>
      </c>
      <c r="K273" s="1">
        <v>65</v>
      </c>
      <c r="L273" s="1">
        <v>29</v>
      </c>
      <c r="M273" s="1">
        <v>99</v>
      </c>
      <c r="N273" s="1">
        <f t="shared" si="28"/>
        <v>1517</v>
      </c>
      <c r="O273">
        <f t="shared" si="24"/>
        <v>360</v>
      </c>
      <c r="P273">
        <f t="shared" si="25"/>
        <v>556</v>
      </c>
      <c r="Q273">
        <f t="shared" si="26"/>
        <v>318</v>
      </c>
      <c r="R273">
        <f t="shared" si="27"/>
        <v>254</v>
      </c>
    </row>
    <row r="274" spans="1:18" x14ac:dyDescent="0.2">
      <c r="A274" s="1">
        <v>1979</v>
      </c>
      <c r="B274" s="1">
        <v>117</v>
      </c>
      <c r="C274" s="1">
        <v>144</v>
      </c>
      <c r="D274" s="1">
        <v>96</v>
      </c>
      <c r="E274" s="1">
        <v>112</v>
      </c>
      <c r="F274" s="1">
        <v>54</v>
      </c>
      <c r="G274" s="1">
        <v>90</v>
      </c>
      <c r="H274" s="1">
        <v>86</v>
      </c>
      <c r="I274" s="1">
        <v>148</v>
      </c>
      <c r="J274" s="1">
        <v>96</v>
      </c>
      <c r="K274" s="1">
        <v>158</v>
      </c>
      <c r="L274" s="1">
        <v>108</v>
      </c>
      <c r="M274" s="1">
        <v>97</v>
      </c>
      <c r="N274" s="1">
        <f t="shared" si="28"/>
        <v>1306</v>
      </c>
      <c r="O274">
        <f t="shared" si="24"/>
        <v>321</v>
      </c>
      <c r="P274">
        <f t="shared" si="25"/>
        <v>262</v>
      </c>
      <c r="Q274">
        <f t="shared" si="26"/>
        <v>324</v>
      </c>
      <c r="R274">
        <f t="shared" si="27"/>
        <v>362</v>
      </c>
    </row>
    <row r="275" spans="1:18" x14ac:dyDescent="0.2">
      <c r="A275" s="1">
        <v>1980</v>
      </c>
      <c r="B275" s="1">
        <v>134</v>
      </c>
      <c r="C275" s="1">
        <v>90</v>
      </c>
      <c r="D275" s="1">
        <v>96</v>
      </c>
      <c r="E275" s="1">
        <v>79</v>
      </c>
      <c r="F275" s="1">
        <v>93</v>
      </c>
      <c r="G275" s="1">
        <v>115</v>
      </c>
      <c r="H275" s="1">
        <v>68</v>
      </c>
      <c r="I275" s="1">
        <v>51</v>
      </c>
      <c r="J275" s="1">
        <v>83</v>
      </c>
      <c r="K275" s="1">
        <v>174</v>
      </c>
      <c r="L275" s="1">
        <v>200</v>
      </c>
      <c r="M275" s="1">
        <v>67</v>
      </c>
      <c r="N275" s="1">
        <f t="shared" si="28"/>
        <v>1250</v>
      </c>
      <c r="O275">
        <f t="shared" si="24"/>
        <v>350</v>
      </c>
      <c r="P275">
        <f t="shared" si="25"/>
        <v>268</v>
      </c>
      <c r="Q275">
        <f t="shared" si="26"/>
        <v>234</v>
      </c>
      <c r="R275">
        <f t="shared" si="27"/>
        <v>457</v>
      </c>
    </row>
    <row r="276" spans="1:18" x14ac:dyDescent="0.2">
      <c r="A276" s="1">
        <v>1981</v>
      </c>
      <c r="B276" s="1">
        <v>178</v>
      </c>
      <c r="C276" s="1">
        <v>105</v>
      </c>
      <c r="D276" s="1">
        <v>54</v>
      </c>
      <c r="E276" s="1">
        <v>98</v>
      </c>
      <c r="F276" s="1">
        <v>114</v>
      </c>
      <c r="G276" s="1">
        <v>113</v>
      </c>
      <c r="H276" s="1">
        <v>67</v>
      </c>
      <c r="I276" s="1">
        <v>96</v>
      </c>
      <c r="J276" s="1">
        <v>123</v>
      </c>
      <c r="K276" s="1">
        <v>170</v>
      </c>
      <c r="L276" s="1">
        <v>75</v>
      </c>
      <c r="M276" s="1">
        <v>178</v>
      </c>
      <c r="N276" s="1">
        <f t="shared" si="28"/>
        <v>1371</v>
      </c>
      <c r="O276">
        <f t="shared" si="24"/>
        <v>324</v>
      </c>
      <c r="P276">
        <f t="shared" si="25"/>
        <v>266</v>
      </c>
      <c r="Q276">
        <f t="shared" si="26"/>
        <v>276</v>
      </c>
      <c r="R276">
        <f t="shared" si="27"/>
        <v>368</v>
      </c>
    </row>
    <row r="277" spans="1:18" x14ac:dyDescent="0.2">
      <c r="A277" s="1">
        <v>1982</v>
      </c>
      <c r="B277" s="1">
        <v>52</v>
      </c>
      <c r="C277" s="1">
        <v>94</v>
      </c>
      <c r="D277" s="1">
        <v>168</v>
      </c>
      <c r="E277" s="1">
        <v>92</v>
      </c>
      <c r="F277" s="1">
        <v>70</v>
      </c>
      <c r="G277" s="1">
        <v>126</v>
      </c>
      <c r="H277" s="1">
        <v>112</v>
      </c>
      <c r="I277" s="1">
        <v>122</v>
      </c>
      <c r="J277" s="1">
        <v>26</v>
      </c>
      <c r="K277" s="1">
        <v>238</v>
      </c>
      <c r="L277" s="1">
        <v>42</v>
      </c>
      <c r="M277" s="1">
        <v>109</v>
      </c>
      <c r="N277" s="1">
        <f t="shared" si="28"/>
        <v>1251</v>
      </c>
      <c r="O277">
        <f t="shared" si="24"/>
        <v>408</v>
      </c>
      <c r="P277">
        <f t="shared" si="25"/>
        <v>330</v>
      </c>
      <c r="Q277">
        <f t="shared" si="26"/>
        <v>360</v>
      </c>
      <c r="R277">
        <f t="shared" si="27"/>
        <v>306</v>
      </c>
    </row>
    <row r="278" spans="1:18" x14ac:dyDescent="0.2">
      <c r="A278" s="1">
        <v>1983</v>
      </c>
      <c r="B278" s="1">
        <v>102</v>
      </c>
      <c r="C278" s="1">
        <v>197</v>
      </c>
      <c r="D278" s="1">
        <v>79</v>
      </c>
      <c r="E278" s="1">
        <v>66</v>
      </c>
      <c r="F278" s="1">
        <v>64</v>
      </c>
      <c r="G278" s="1">
        <v>147</v>
      </c>
      <c r="H278" s="1">
        <v>108</v>
      </c>
      <c r="I278" s="1">
        <v>99</v>
      </c>
      <c r="J278" s="1">
        <v>100</v>
      </c>
      <c r="K278" s="1">
        <v>26</v>
      </c>
      <c r="L278" s="1">
        <v>72</v>
      </c>
      <c r="M278" s="1">
        <v>126</v>
      </c>
      <c r="N278" s="1">
        <f t="shared" si="28"/>
        <v>1186</v>
      </c>
      <c r="O278">
        <f t="shared" si="24"/>
        <v>393</v>
      </c>
      <c r="P278">
        <f t="shared" si="25"/>
        <v>209</v>
      </c>
      <c r="Q278">
        <f t="shared" si="26"/>
        <v>354</v>
      </c>
      <c r="R278">
        <f t="shared" si="27"/>
        <v>198</v>
      </c>
    </row>
    <row r="279" spans="1:18" x14ac:dyDescent="0.2">
      <c r="A279" s="1">
        <v>1984</v>
      </c>
      <c r="B279" s="1">
        <v>140</v>
      </c>
      <c r="C279" s="1">
        <v>127</v>
      </c>
      <c r="D279" s="1">
        <v>145</v>
      </c>
      <c r="E279" s="1">
        <v>136</v>
      </c>
      <c r="F279" s="1">
        <v>148</v>
      </c>
      <c r="G279" s="1">
        <v>117</v>
      </c>
      <c r="H279" s="1">
        <v>71</v>
      </c>
      <c r="I279" s="1">
        <v>148</v>
      </c>
      <c r="J279" s="1">
        <v>126</v>
      </c>
      <c r="K279" s="1">
        <v>234</v>
      </c>
      <c r="L279" s="1">
        <v>66</v>
      </c>
      <c r="M279" s="1">
        <v>25</v>
      </c>
      <c r="N279" s="1">
        <f t="shared" si="28"/>
        <v>1483</v>
      </c>
      <c r="O279">
        <f t="shared" si="24"/>
        <v>194</v>
      </c>
      <c r="P279">
        <f t="shared" si="25"/>
        <v>429</v>
      </c>
      <c r="Q279">
        <f t="shared" si="26"/>
        <v>336</v>
      </c>
      <c r="R279">
        <f t="shared" si="27"/>
        <v>426</v>
      </c>
    </row>
    <row r="280" spans="1:18" x14ac:dyDescent="0.2">
      <c r="A280" s="1">
        <v>1985</v>
      </c>
      <c r="B280" s="1">
        <v>85</v>
      </c>
      <c r="C280" s="1">
        <v>84</v>
      </c>
      <c r="D280" s="1">
        <v>135</v>
      </c>
      <c r="E280" s="1">
        <v>64</v>
      </c>
      <c r="F280" s="1">
        <v>99</v>
      </c>
      <c r="G280" s="1">
        <v>127</v>
      </c>
      <c r="H280" s="1">
        <v>45</v>
      </c>
      <c r="I280" s="1">
        <v>70</v>
      </c>
      <c r="J280" s="1">
        <v>8</v>
      </c>
      <c r="K280" s="1">
        <v>49</v>
      </c>
      <c r="L280" s="1">
        <v>185</v>
      </c>
      <c r="M280" s="1">
        <v>74</v>
      </c>
      <c r="N280" s="1">
        <f t="shared" si="28"/>
        <v>1025</v>
      </c>
      <c r="O280">
        <f t="shared" si="24"/>
        <v>445</v>
      </c>
      <c r="P280">
        <f t="shared" si="25"/>
        <v>298</v>
      </c>
      <c r="Q280">
        <f t="shared" si="26"/>
        <v>242</v>
      </c>
      <c r="R280">
        <f t="shared" si="27"/>
        <v>242</v>
      </c>
    </row>
    <row r="281" spans="1:18" x14ac:dyDescent="0.2">
      <c r="A281" s="1">
        <v>1986</v>
      </c>
      <c r="B281" s="1">
        <v>119</v>
      </c>
      <c r="C281" s="1">
        <v>252</v>
      </c>
      <c r="D281" s="1">
        <v>123</v>
      </c>
      <c r="E281" s="1">
        <v>119</v>
      </c>
      <c r="F281" s="1">
        <v>80</v>
      </c>
      <c r="G281" s="1">
        <v>130</v>
      </c>
      <c r="H281" s="1">
        <v>97</v>
      </c>
      <c r="I281" s="1">
        <v>59</v>
      </c>
      <c r="J281" s="1">
        <v>21</v>
      </c>
      <c r="K281" s="1">
        <v>63</v>
      </c>
      <c r="L281" s="1">
        <v>72</v>
      </c>
      <c r="M281" s="1">
        <v>59</v>
      </c>
      <c r="N281" s="1">
        <f t="shared" si="28"/>
        <v>1194</v>
      </c>
      <c r="O281">
        <f t="shared" si="24"/>
        <v>315</v>
      </c>
      <c r="P281">
        <f t="shared" si="25"/>
        <v>322</v>
      </c>
      <c r="Q281">
        <f t="shared" si="26"/>
        <v>286</v>
      </c>
      <c r="R281">
        <f t="shared" si="27"/>
        <v>156</v>
      </c>
    </row>
    <row r="282" spans="1:18" x14ac:dyDescent="0.2">
      <c r="A282" s="1">
        <v>1987</v>
      </c>
      <c r="B282" s="1">
        <v>136</v>
      </c>
      <c r="C282" s="1">
        <v>120</v>
      </c>
      <c r="D282" s="1">
        <v>162</v>
      </c>
      <c r="E282" s="1">
        <v>72</v>
      </c>
      <c r="F282" s="1">
        <v>178</v>
      </c>
      <c r="G282" s="1">
        <v>104</v>
      </c>
      <c r="H282" s="1">
        <v>48</v>
      </c>
      <c r="I282" s="1">
        <v>85</v>
      </c>
      <c r="J282" s="1">
        <v>76</v>
      </c>
      <c r="K282" s="1">
        <v>100</v>
      </c>
      <c r="L282" s="1">
        <v>210</v>
      </c>
      <c r="M282" s="1">
        <v>74</v>
      </c>
      <c r="N282" s="1">
        <f t="shared" si="28"/>
        <v>1365</v>
      </c>
      <c r="O282">
        <f t="shared" si="24"/>
        <v>312</v>
      </c>
      <c r="P282">
        <f t="shared" si="25"/>
        <v>412</v>
      </c>
      <c r="Q282">
        <f t="shared" si="26"/>
        <v>237</v>
      </c>
      <c r="R282">
        <f t="shared" si="27"/>
        <v>386</v>
      </c>
    </row>
    <row r="283" spans="1:18" x14ac:dyDescent="0.2">
      <c r="A283" s="1">
        <v>1988</v>
      </c>
      <c r="B283" s="1">
        <v>116</v>
      </c>
      <c r="C283" s="1">
        <v>122</v>
      </c>
      <c r="D283" s="1">
        <v>214</v>
      </c>
      <c r="E283" s="1">
        <v>98</v>
      </c>
      <c r="F283" s="1">
        <v>62</v>
      </c>
      <c r="G283" s="1">
        <v>120</v>
      </c>
      <c r="H283" s="1">
        <v>7</v>
      </c>
      <c r="I283" s="1">
        <v>94</v>
      </c>
      <c r="J283" s="1">
        <v>66</v>
      </c>
      <c r="K283" s="1">
        <v>84</v>
      </c>
      <c r="L283" s="1">
        <v>95</v>
      </c>
      <c r="M283" s="1">
        <v>106</v>
      </c>
      <c r="N283" s="1">
        <f t="shared" si="28"/>
        <v>1184</v>
      </c>
      <c r="O283">
        <f t="shared" si="24"/>
        <v>204</v>
      </c>
      <c r="P283">
        <f t="shared" si="25"/>
        <v>374</v>
      </c>
      <c r="Q283">
        <f t="shared" si="26"/>
        <v>221</v>
      </c>
      <c r="R283">
        <f t="shared" si="27"/>
        <v>245</v>
      </c>
    </row>
    <row r="284" spans="1:18" x14ac:dyDescent="0.2">
      <c r="A284" s="1">
        <v>1989</v>
      </c>
      <c r="B284" s="1">
        <v>18</v>
      </c>
      <c r="C284" s="1">
        <v>80</v>
      </c>
      <c r="D284" s="1">
        <v>71</v>
      </c>
      <c r="E284" s="1">
        <v>121</v>
      </c>
      <c r="F284" s="1">
        <v>116</v>
      </c>
      <c r="G284" s="1">
        <v>159</v>
      </c>
      <c r="H284" s="1">
        <v>181</v>
      </c>
      <c r="I284" s="1">
        <v>156</v>
      </c>
      <c r="J284" s="1">
        <v>112</v>
      </c>
      <c r="K284" s="1">
        <v>72</v>
      </c>
      <c r="L284" s="1">
        <v>138</v>
      </c>
      <c r="M284" s="1">
        <v>37</v>
      </c>
      <c r="N284" s="1">
        <f t="shared" si="28"/>
        <v>1261</v>
      </c>
      <c r="O284">
        <f t="shared" si="24"/>
        <v>107</v>
      </c>
      <c r="P284">
        <f t="shared" si="25"/>
        <v>308</v>
      </c>
      <c r="Q284">
        <f t="shared" si="26"/>
        <v>496</v>
      </c>
      <c r="R284">
        <f t="shared" si="27"/>
        <v>322</v>
      </c>
    </row>
    <row r="285" spans="1:18" x14ac:dyDescent="0.2">
      <c r="A285" s="1">
        <v>1990</v>
      </c>
      <c r="B285" s="2">
        <v>27</v>
      </c>
      <c r="C285" s="2">
        <v>43</v>
      </c>
      <c r="D285" s="2">
        <v>48</v>
      </c>
      <c r="E285" s="2">
        <v>159</v>
      </c>
      <c r="F285" s="2">
        <v>84</v>
      </c>
      <c r="G285" s="2">
        <v>81</v>
      </c>
      <c r="H285" s="2">
        <v>60</v>
      </c>
      <c r="I285" s="2">
        <v>81</v>
      </c>
      <c r="J285" s="2">
        <v>141</v>
      </c>
      <c r="K285" s="2">
        <v>138</v>
      </c>
      <c r="L285" s="2">
        <v>169</v>
      </c>
      <c r="M285" s="2">
        <v>150</v>
      </c>
      <c r="N285" s="2">
        <f t="shared" si="28"/>
        <v>1181</v>
      </c>
      <c r="O285">
        <f t="shared" si="24"/>
        <v>292.31149779954893</v>
      </c>
      <c r="P285">
        <f t="shared" si="25"/>
        <v>291</v>
      </c>
      <c r="Q285">
        <f t="shared" si="26"/>
        <v>222</v>
      </c>
      <c r="R285">
        <f t="shared" si="27"/>
        <v>448</v>
      </c>
    </row>
    <row r="286" spans="1:18" x14ac:dyDescent="0.2">
      <c r="A286" s="1">
        <v>1991</v>
      </c>
      <c r="B286" s="2">
        <v>35.364977775277097</v>
      </c>
      <c r="C286" s="2">
        <v>106.94652002427181</v>
      </c>
      <c r="D286" s="2">
        <v>51.66213432220848</v>
      </c>
      <c r="E286" s="2">
        <v>97.316452504879649</v>
      </c>
      <c r="F286" s="2">
        <v>116.77235618408433</v>
      </c>
      <c r="G286" s="2">
        <v>84.726890716803752</v>
      </c>
      <c r="H286" s="2">
        <v>149.45114560629418</v>
      </c>
      <c r="I286" s="2">
        <v>87.304762204724412</v>
      </c>
      <c r="J286" s="2">
        <v>87.21122026213618</v>
      </c>
      <c r="K286" s="2">
        <v>287.67929530962516</v>
      </c>
      <c r="L286" s="2">
        <v>191.64217229631939</v>
      </c>
      <c r="M286" s="2">
        <v>68.816884214480254</v>
      </c>
      <c r="N286" s="2">
        <f>SUM(B286:M286)</f>
        <v>1364.8948114211048</v>
      </c>
      <c r="O286">
        <f t="shared" si="24"/>
        <v>173.31688421448024</v>
      </c>
      <c r="P286">
        <f t="shared" si="25"/>
        <v>265.75094301117247</v>
      </c>
      <c r="Q286">
        <f t="shared" si="26"/>
        <v>321.48279852782235</v>
      </c>
      <c r="R286">
        <f t="shared" si="27"/>
        <v>566.53268786808076</v>
      </c>
    </row>
    <row r="287" spans="1:18" x14ac:dyDescent="0.2">
      <c r="A287" s="1">
        <v>1992</v>
      </c>
      <c r="B287" s="2">
        <v>34.9</v>
      </c>
      <c r="C287" s="2">
        <v>69.599999999999994</v>
      </c>
      <c r="D287" s="2">
        <v>73.2</v>
      </c>
      <c r="E287" s="2">
        <v>185.4</v>
      </c>
      <c r="F287" s="2">
        <v>73.099999999999994</v>
      </c>
      <c r="G287" s="2">
        <v>149.28675205640423</v>
      </c>
      <c r="H287" s="2">
        <v>94.918590186592951</v>
      </c>
      <c r="I287" s="2">
        <v>23.444277165354329</v>
      </c>
      <c r="J287" s="2">
        <v>51.109831409437945</v>
      </c>
      <c r="K287" s="2">
        <v>207.01141971419202</v>
      </c>
      <c r="L287" s="2">
        <v>89.513535659415282</v>
      </c>
      <c r="M287" s="2">
        <v>48.258381068644958</v>
      </c>
      <c r="N287" s="2">
        <f t="shared" ref="N287:N294" si="29">SUM(B287:M287)</f>
        <v>1099.7427872600417</v>
      </c>
      <c r="O287">
        <f t="shared" si="24"/>
        <v>105.73369735868809</v>
      </c>
      <c r="P287">
        <f t="shared" si="25"/>
        <v>331.70000000000005</v>
      </c>
      <c r="Q287">
        <f t="shared" si="26"/>
        <v>267.6496194083515</v>
      </c>
      <c r="R287">
        <f t="shared" si="27"/>
        <v>347.63478678304523</v>
      </c>
    </row>
    <row r="288" spans="1:18" x14ac:dyDescent="0.2">
      <c r="A288" s="1">
        <v>1993</v>
      </c>
      <c r="B288" s="2">
        <v>27.452813256062559</v>
      </c>
      <c r="C288" s="2">
        <v>30.022503033980573</v>
      </c>
      <c r="D288" s="2">
        <v>149.58296544823119</v>
      </c>
      <c r="E288" s="2">
        <v>36.740739535892438</v>
      </c>
      <c r="F288" s="2">
        <v>67.298036912751655</v>
      </c>
      <c r="G288" s="2">
        <v>102.2303501762632</v>
      </c>
      <c r="H288" s="2">
        <v>74.61148795917282</v>
      </c>
      <c r="I288" s="2">
        <v>103.98903307086613</v>
      </c>
      <c r="J288" s="2">
        <v>115.06472626833781</v>
      </c>
      <c r="K288" s="2">
        <v>83.300032764573913</v>
      </c>
      <c r="L288" s="2">
        <v>147.48931887510852</v>
      </c>
      <c r="M288" s="2">
        <v>73.90240867687109</v>
      </c>
      <c r="N288" s="2">
        <f t="shared" si="29"/>
        <v>1011.6844159781118</v>
      </c>
      <c r="O288">
        <f t="shared" si="24"/>
        <v>267.4213206359201</v>
      </c>
      <c r="P288">
        <f t="shared" si="25"/>
        <v>253.62174189687528</v>
      </c>
      <c r="Q288">
        <f t="shared" si="26"/>
        <v>280.83087120630216</v>
      </c>
      <c r="R288">
        <f t="shared" si="27"/>
        <v>345.85407790802026</v>
      </c>
    </row>
    <row r="289" spans="1:18" x14ac:dyDescent="0.2">
      <c r="A289" s="1">
        <v>1994</v>
      </c>
      <c r="B289" s="2">
        <v>88.232622517301493</v>
      </c>
      <c r="C289" s="2">
        <v>105.28628944174753</v>
      </c>
      <c r="D289" s="2">
        <v>45.995114485843771</v>
      </c>
      <c r="E289" s="2">
        <v>162.42662383430925</v>
      </c>
      <c r="F289" s="2">
        <v>68.162217162032576</v>
      </c>
      <c r="G289" s="2">
        <v>124.93411280846063</v>
      </c>
      <c r="H289" s="2">
        <v>98.911559725692413</v>
      </c>
      <c r="I289" s="2">
        <v>61.990696062992122</v>
      </c>
      <c r="J289" s="2">
        <v>81.937983688146559</v>
      </c>
      <c r="K289" s="2">
        <v>107.60877838546259</v>
      </c>
      <c r="L289" s="2">
        <v>49.386778294849805</v>
      </c>
      <c r="M289" s="2">
        <v>44.904098976429729</v>
      </c>
      <c r="N289" s="2">
        <f t="shared" si="29"/>
        <v>1039.7768753832684</v>
      </c>
      <c r="O289">
        <f t="shared" si="24"/>
        <v>250.72874539060024</v>
      </c>
      <c r="P289">
        <f t="shared" si="25"/>
        <v>276.58395548218562</v>
      </c>
      <c r="Q289">
        <f t="shared" si="26"/>
        <v>285.83636859714517</v>
      </c>
      <c r="R289">
        <f t="shared" si="27"/>
        <v>238.93354036845898</v>
      </c>
    </row>
    <row r="290" spans="1:18" x14ac:dyDescent="0.2">
      <c r="A290" s="1">
        <v>1995</v>
      </c>
      <c r="B290" s="2">
        <v>125.99522590446179</v>
      </c>
      <c r="C290" s="2">
        <v>79.829420509708712</v>
      </c>
      <c r="D290" s="2">
        <v>134.82235564188591</v>
      </c>
      <c r="E290" s="2">
        <v>72.435065603990466</v>
      </c>
      <c r="F290" s="2">
        <v>116.34026605944388</v>
      </c>
      <c r="G290" s="2">
        <v>196.72366392479435</v>
      </c>
      <c r="H290" s="2">
        <v>61.149476370208916</v>
      </c>
      <c r="I290" s="2">
        <v>175.32867401574802</v>
      </c>
      <c r="J290" s="2">
        <v>119.93232925971286</v>
      </c>
      <c r="K290" s="2">
        <v>1.3934949718980767</v>
      </c>
      <c r="L290" s="2">
        <v>107.22835830865489</v>
      </c>
      <c r="M290" s="2">
        <v>168.68792844398541</v>
      </c>
      <c r="N290" s="2">
        <f t="shared" si="29"/>
        <v>1359.8662590144932</v>
      </c>
      <c r="O290">
        <f t="shared" si="24"/>
        <v>382.35162653087571</v>
      </c>
      <c r="P290">
        <f t="shared" si="25"/>
        <v>323.59768730532028</v>
      </c>
      <c r="Q290">
        <f t="shared" si="26"/>
        <v>433.20181431075127</v>
      </c>
      <c r="R290">
        <f t="shared" si="27"/>
        <v>228.55418254026583</v>
      </c>
    </row>
    <row r="291" spans="1:18" x14ac:dyDescent="0.2">
      <c r="A291" s="1">
        <v>1996</v>
      </c>
      <c r="B291" s="2">
        <v>84.995827941259208</v>
      </c>
      <c r="C291" s="2">
        <v>128.66787014563104</v>
      </c>
      <c r="D291" s="2">
        <v>76.702454529401365</v>
      </c>
      <c r="E291" s="2">
        <v>81.503982324875295</v>
      </c>
      <c r="F291" s="2">
        <v>58.65623441994245</v>
      </c>
      <c r="G291" s="2">
        <v>58.97904817861339</v>
      </c>
      <c r="H291" s="2">
        <v>20.64935675934294</v>
      </c>
      <c r="I291" s="2">
        <v>126.5703307086614</v>
      </c>
      <c r="J291" s="2">
        <v>349.25051463115932</v>
      </c>
      <c r="K291" s="2">
        <v>147.71046702119614</v>
      </c>
      <c r="L291" s="2">
        <v>150.03917971098392</v>
      </c>
      <c r="M291" s="2">
        <v>111.98974082073438</v>
      </c>
      <c r="N291" s="2">
        <f t="shared" si="29"/>
        <v>1395.7150071918009</v>
      </c>
      <c r="O291">
        <f t="shared" si="24"/>
        <v>253.61379856243946</v>
      </c>
      <c r="P291">
        <f t="shared" si="25"/>
        <v>216.86267127421911</v>
      </c>
      <c r="Q291">
        <f t="shared" si="26"/>
        <v>206.19873564661773</v>
      </c>
      <c r="R291">
        <f t="shared" si="27"/>
        <v>647.00016136333943</v>
      </c>
    </row>
    <row r="292" spans="1:18" x14ac:dyDescent="0.2">
      <c r="A292" s="1">
        <v>1997</v>
      </c>
      <c r="B292" s="2">
        <v>59.580996455297353</v>
      </c>
      <c r="C292" s="2">
        <v>82.043061286407735</v>
      </c>
      <c r="D292" s="2">
        <v>59.569603861322022</v>
      </c>
      <c r="E292" s="2">
        <v>123.36052103665149</v>
      </c>
      <c r="F292" s="2">
        <v>64.273406040268441</v>
      </c>
      <c r="G292" s="2">
        <v>64.179351351351343</v>
      </c>
      <c r="H292" s="2">
        <v>91.153790335442025</v>
      </c>
      <c r="I292" s="2">
        <v>78.531137007874008</v>
      </c>
      <c r="J292" s="2">
        <v>25.014070927899525</v>
      </c>
      <c r="K292" s="2">
        <v>252.06775713889652</v>
      </c>
      <c r="L292" s="2">
        <v>101.32341742557502</v>
      </c>
      <c r="M292" s="2">
        <v>94.460911822706379</v>
      </c>
      <c r="N292" s="2">
        <f t="shared" si="29"/>
        <v>1095.558024689692</v>
      </c>
      <c r="O292">
        <f t="shared" si="24"/>
        <v>188.09437864338969</v>
      </c>
      <c r="P292">
        <f t="shared" si="25"/>
        <v>247.20353093824195</v>
      </c>
      <c r="Q292">
        <f t="shared" si="26"/>
        <v>233.86427869466738</v>
      </c>
      <c r="R292">
        <f t="shared" si="27"/>
        <v>378.40524549237108</v>
      </c>
    </row>
    <row r="293" spans="1:18" x14ac:dyDescent="0.2">
      <c r="A293" s="1">
        <v>1998</v>
      </c>
      <c r="B293" s="2">
        <v>63.057553592527981</v>
      </c>
      <c r="C293" s="2">
        <v>30.575913228155333</v>
      </c>
      <c r="D293" s="2">
        <v>59.174230384366339</v>
      </c>
      <c r="E293" s="2">
        <v>97.897793320320986</v>
      </c>
      <c r="F293" s="2">
        <v>45.04539549376797</v>
      </c>
      <c r="G293" s="2">
        <v>126.5829894242068</v>
      </c>
      <c r="H293" s="2">
        <v>45.177598213811066</v>
      </c>
      <c r="I293" s="2">
        <v>89.318381102362196</v>
      </c>
      <c r="J293" s="2">
        <v>155.2224509471819</v>
      </c>
      <c r="K293" s="2">
        <v>211.03707185523095</v>
      </c>
      <c r="L293" s="2">
        <v>144.4026452316804</v>
      </c>
      <c r="M293" s="2">
        <v>101.27767865527282</v>
      </c>
      <c r="N293" s="2">
        <f t="shared" si="29"/>
        <v>1168.7697014488847</v>
      </c>
      <c r="O293">
        <f t="shared" si="24"/>
        <v>340.67749822637825</v>
      </c>
      <c r="P293">
        <f t="shared" si="25"/>
        <v>202.11741919845531</v>
      </c>
      <c r="Q293">
        <f t="shared" si="26"/>
        <v>261.07896874038005</v>
      </c>
      <c r="R293">
        <f t="shared" si="27"/>
        <v>510.66216803409327</v>
      </c>
    </row>
    <row r="294" spans="1:18" x14ac:dyDescent="0.2">
      <c r="A294" s="1">
        <v>1999</v>
      </c>
      <c r="B294" s="2">
        <v>72.408293478872437</v>
      </c>
      <c r="C294" s="2">
        <v>166.99152609223296</v>
      </c>
      <c r="D294" s="2">
        <v>77.8885749602684</v>
      </c>
      <c r="E294" s="2">
        <v>116.03562676209066</v>
      </c>
      <c r="F294" s="2">
        <v>68.810352348993277</v>
      </c>
      <c r="G294" s="2">
        <v>95.000660399529963</v>
      </c>
      <c r="H294" s="2">
        <v>112.94399553452766</v>
      </c>
      <c r="I294" s="2">
        <v>120.52947401574802</v>
      </c>
      <c r="J294" s="2">
        <v>135.2111942048623</v>
      </c>
      <c r="K294" s="2">
        <v>88.874012652166215</v>
      </c>
      <c r="L294" s="2">
        <v>23.7</v>
      </c>
      <c r="M294" s="2">
        <v>99.8</v>
      </c>
      <c r="N294" s="2">
        <f t="shared" si="29"/>
        <v>1178.1937104492918</v>
      </c>
      <c r="O294">
        <f t="shared" si="24"/>
        <v>229.09999999999997</v>
      </c>
      <c r="P294">
        <f t="shared" si="25"/>
        <v>262.73455407135231</v>
      </c>
      <c r="Q294">
        <f t="shared" si="26"/>
        <v>328.47412994980562</v>
      </c>
      <c r="R294">
        <f t="shared" si="27"/>
        <v>247.7852068570285</v>
      </c>
    </row>
    <row r="295" spans="1:18" x14ac:dyDescent="0.2">
      <c r="A295" s="1">
        <v>2000</v>
      </c>
      <c r="B295" s="1">
        <v>78.599999999999994</v>
      </c>
      <c r="C295" s="1">
        <v>50.7</v>
      </c>
      <c r="D295" s="1">
        <v>43.7</v>
      </c>
      <c r="E295" s="1">
        <v>55.7</v>
      </c>
      <c r="F295" s="1">
        <v>48.6</v>
      </c>
      <c r="G295" s="1">
        <v>18.7</v>
      </c>
      <c r="H295" s="1">
        <v>50.6</v>
      </c>
      <c r="I295" s="1">
        <v>4.4000000000000004</v>
      </c>
      <c r="J295" s="1">
        <v>59.5</v>
      </c>
      <c r="K295" s="1">
        <v>198.1</v>
      </c>
      <c r="L295" s="1">
        <v>220.2</v>
      </c>
      <c r="M295" s="1">
        <v>123.6</v>
      </c>
      <c r="N295" s="1">
        <f t="shared" si="28"/>
        <v>952.4</v>
      </c>
      <c r="O295">
        <f t="shared" si="24"/>
        <v>270</v>
      </c>
      <c r="P295">
        <f t="shared" si="25"/>
        <v>148</v>
      </c>
      <c r="Q295">
        <f t="shared" si="26"/>
        <v>73.7</v>
      </c>
      <c r="R295">
        <f t="shared" si="27"/>
        <v>477.8</v>
      </c>
    </row>
    <row r="296" spans="1:18" x14ac:dyDescent="0.2">
      <c r="A296" s="1">
        <v>2001</v>
      </c>
      <c r="B296" s="1">
        <v>99.6</v>
      </c>
      <c r="C296" s="1">
        <v>46.8</v>
      </c>
      <c r="D296" s="1">
        <v>114.8</v>
      </c>
      <c r="E296" s="1">
        <v>161.1</v>
      </c>
      <c r="F296" s="1">
        <v>53.2</v>
      </c>
      <c r="G296" s="1">
        <v>107.1</v>
      </c>
      <c r="H296" s="1">
        <v>101.8</v>
      </c>
      <c r="I296" s="1">
        <v>117.9</v>
      </c>
      <c r="J296" s="1">
        <v>321</v>
      </c>
      <c r="K296" s="1">
        <v>48.7</v>
      </c>
      <c r="L296" s="1">
        <v>152.19999999999999</v>
      </c>
      <c r="M296" s="1">
        <v>71.7</v>
      </c>
      <c r="N296" s="1">
        <f t="shared" si="28"/>
        <v>1395.8999999999999</v>
      </c>
      <c r="O296">
        <f t="shared" si="24"/>
        <v>135.6</v>
      </c>
      <c r="P296">
        <f t="shared" si="25"/>
        <v>329.09999999999997</v>
      </c>
      <c r="Q296">
        <f t="shared" si="26"/>
        <v>326.79999999999995</v>
      </c>
      <c r="R296">
        <f t="shared" si="27"/>
        <v>521.9</v>
      </c>
    </row>
    <row r="297" spans="1:18" x14ac:dyDescent="0.2">
      <c r="A297" s="1">
        <v>2002</v>
      </c>
      <c r="B297" s="1">
        <v>25.8</v>
      </c>
      <c r="C297" s="1">
        <v>38.1</v>
      </c>
      <c r="D297" s="1">
        <v>31.7</v>
      </c>
      <c r="E297" s="1">
        <v>99.8</v>
      </c>
      <c r="F297" s="1">
        <v>142.80000000000001</v>
      </c>
      <c r="G297" s="1">
        <v>54.4</v>
      </c>
      <c r="H297" s="1">
        <v>110</v>
      </c>
      <c r="I297" s="1">
        <v>238.1</v>
      </c>
      <c r="J297" s="1">
        <v>207.4</v>
      </c>
      <c r="K297" s="1">
        <v>247.5</v>
      </c>
      <c r="L297" s="1">
        <v>127.6</v>
      </c>
      <c r="M297" s="1">
        <v>87.1</v>
      </c>
      <c r="N297" s="1">
        <f t="shared" si="28"/>
        <v>1410.2999999999997</v>
      </c>
      <c r="O297">
        <f t="shared" si="24"/>
        <v>259.89999999999998</v>
      </c>
      <c r="P297">
        <f t="shared" si="25"/>
        <v>274.3</v>
      </c>
      <c r="Q297">
        <f t="shared" si="26"/>
        <v>402.5</v>
      </c>
      <c r="R297">
        <f t="shared" si="27"/>
        <v>582.5</v>
      </c>
    </row>
    <row r="298" spans="1:18" x14ac:dyDescent="0.2">
      <c r="A298" s="1">
        <v>2003</v>
      </c>
      <c r="B298" s="1">
        <v>104.1</v>
      </c>
      <c r="C298" s="1">
        <v>68.7</v>
      </c>
      <c r="D298" s="1">
        <v>30.9</v>
      </c>
      <c r="E298" s="1">
        <v>44.8</v>
      </c>
      <c r="F298" s="1">
        <v>35.1</v>
      </c>
      <c r="G298" s="1">
        <v>57.7</v>
      </c>
      <c r="H298" s="1">
        <v>43.4</v>
      </c>
      <c r="I298" s="1">
        <v>49.3</v>
      </c>
      <c r="J298" s="1">
        <v>75.3</v>
      </c>
      <c r="K298" s="1">
        <v>216.4</v>
      </c>
      <c r="L298" s="1">
        <v>179.4</v>
      </c>
      <c r="M298" s="1">
        <v>69</v>
      </c>
      <c r="N298" s="1">
        <f t="shared" si="28"/>
        <v>974.1</v>
      </c>
      <c r="O298">
        <f t="shared" si="24"/>
        <v>302.89999999999998</v>
      </c>
      <c r="P298">
        <f t="shared" si="25"/>
        <v>110.79999999999998</v>
      </c>
      <c r="Q298">
        <f t="shared" si="26"/>
        <v>150.39999999999998</v>
      </c>
      <c r="R298">
        <f t="shared" si="27"/>
        <v>471.1</v>
      </c>
    </row>
    <row r="299" spans="1:18" x14ac:dyDescent="0.2">
      <c r="A299" s="1">
        <v>2004</v>
      </c>
      <c r="B299" s="1">
        <v>126.5</v>
      </c>
      <c r="C299" s="1">
        <v>107.4</v>
      </c>
      <c r="D299" s="1">
        <v>132.19999999999999</v>
      </c>
      <c r="E299" s="1">
        <v>166.6</v>
      </c>
      <c r="F299" s="1">
        <v>123.3</v>
      </c>
      <c r="G299" s="1">
        <v>91.6</v>
      </c>
      <c r="H299" s="1">
        <v>110.3</v>
      </c>
      <c r="I299" s="1">
        <v>90.8</v>
      </c>
      <c r="J299" s="1">
        <v>43.3</v>
      </c>
      <c r="K299" s="1">
        <v>110.2</v>
      </c>
      <c r="L299" s="1">
        <v>125.6</v>
      </c>
      <c r="M299" s="1">
        <v>121.9</v>
      </c>
      <c r="N299" s="1">
        <f t="shared" si="28"/>
        <v>1349.6999999999998</v>
      </c>
      <c r="O299">
        <f t="shared" si="24"/>
        <v>465.5</v>
      </c>
      <c r="P299">
        <f t="shared" si="25"/>
        <v>422.09999999999997</v>
      </c>
      <c r="Q299">
        <f t="shared" si="26"/>
        <v>292.7</v>
      </c>
      <c r="R299">
        <f t="shared" si="27"/>
        <v>279.10000000000002</v>
      </c>
    </row>
    <row r="300" spans="1:18" x14ac:dyDescent="0.2">
      <c r="A300" s="1">
        <v>2005</v>
      </c>
      <c r="B300" s="1">
        <v>108.2</v>
      </c>
      <c r="C300" s="1">
        <v>235.4</v>
      </c>
      <c r="D300" s="1">
        <v>63.5</v>
      </c>
      <c r="E300" s="1">
        <v>41.2</v>
      </c>
      <c r="F300" s="1">
        <v>76.8</v>
      </c>
      <c r="G300" s="1">
        <v>93.2</v>
      </c>
      <c r="H300" s="1">
        <v>152.69999999999999</v>
      </c>
      <c r="I300" s="1">
        <v>224.8</v>
      </c>
      <c r="J300" s="1">
        <v>106.6</v>
      </c>
      <c r="K300" s="1">
        <v>57.3</v>
      </c>
      <c r="L300" s="1">
        <v>82</v>
      </c>
      <c r="M300" s="1">
        <v>119.4</v>
      </c>
      <c r="N300" s="1">
        <f t="shared" si="28"/>
        <v>1361.1</v>
      </c>
      <c r="O300">
        <f t="shared" si="24"/>
        <v>290.5</v>
      </c>
      <c r="P300">
        <f t="shared" si="25"/>
        <v>181.5</v>
      </c>
      <c r="Q300">
        <f t="shared" si="26"/>
        <v>470.7</v>
      </c>
      <c r="R300">
        <f t="shared" si="27"/>
        <v>245.89999999999998</v>
      </c>
    </row>
    <row r="301" spans="1:18" x14ac:dyDescent="0.2">
      <c r="A301" s="1">
        <v>2006</v>
      </c>
      <c r="B301" s="1">
        <v>78.8</v>
      </c>
      <c r="C301" s="1">
        <v>92.3</v>
      </c>
      <c r="D301" s="1">
        <v>157.30000000000001</v>
      </c>
      <c r="E301" s="1">
        <v>75.2</v>
      </c>
      <c r="F301" s="1">
        <v>41.4</v>
      </c>
      <c r="G301" s="1">
        <v>103.9</v>
      </c>
      <c r="H301" s="1">
        <v>120.8</v>
      </c>
      <c r="I301" s="1">
        <v>186.1</v>
      </c>
      <c r="J301" s="1">
        <v>91.9</v>
      </c>
      <c r="K301" s="1">
        <v>116.1</v>
      </c>
      <c r="L301" s="1">
        <v>41</v>
      </c>
      <c r="M301" s="1">
        <v>69.5</v>
      </c>
      <c r="N301" s="1">
        <f t="shared" si="28"/>
        <v>1174.3</v>
      </c>
      <c r="O301">
        <f t="shared" si="24"/>
        <v>267.79999999999995</v>
      </c>
      <c r="P301">
        <f t="shared" si="25"/>
        <v>273.89999999999998</v>
      </c>
      <c r="Q301">
        <f t="shared" si="26"/>
        <v>410.79999999999995</v>
      </c>
      <c r="R301">
        <f t="shared" si="27"/>
        <v>249</v>
      </c>
    </row>
    <row r="302" spans="1:18" x14ac:dyDescent="0.2">
      <c r="A302" s="1">
        <v>2007</v>
      </c>
      <c r="B302" s="1">
        <v>82.7</v>
      </c>
      <c r="C302" s="1">
        <v>115.6</v>
      </c>
      <c r="D302" s="1">
        <v>105.6</v>
      </c>
      <c r="E302" s="1">
        <v>16.600000000000001</v>
      </c>
      <c r="F302" s="1">
        <v>157.1</v>
      </c>
      <c r="G302" s="1">
        <v>152.5</v>
      </c>
      <c r="H302" s="1">
        <v>53.5</v>
      </c>
      <c r="I302" s="1">
        <v>28.5</v>
      </c>
      <c r="J302" s="1">
        <v>137.9</v>
      </c>
      <c r="K302" s="1">
        <v>133.19999999999999</v>
      </c>
      <c r="L302" s="1">
        <v>174.3</v>
      </c>
      <c r="M302" s="1">
        <v>53.5</v>
      </c>
      <c r="N302" s="1">
        <f t="shared" si="28"/>
        <v>1211</v>
      </c>
      <c r="O302">
        <f t="shared" si="24"/>
        <v>173.2</v>
      </c>
      <c r="P302">
        <f t="shared" si="25"/>
        <v>279.29999999999995</v>
      </c>
      <c r="Q302">
        <f t="shared" si="26"/>
        <v>234.5</v>
      </c>
      <c r="R302">
        <f t="shared" si="27"/>
        <v>445.40000000000003</v>
      </c>
    </row>
    <row r="303" spans="1:18" x14ac:dyDescent="0.2">
      <c r="A303" s="1">
        <v>2008</v>
      </c>
      <c r="B303" s="1">
        <v>76</v>
      </c>
      <c r="C303" s="1">
        <v>43.7</v>
      </c>
      <c r="D303" s="1">
        <v>188.6</v>
      </c>
      <c r="E303" s="1">
        <v>115.4</v>
      </c>
      <c r="F303" s="1">
        <v>53.7</v>
      </c>
      <c r="G303" s="1">
        <v>54.6</v>
      </c>
      <c r="H303" s="1">
        <v>123.9</v>
      </c>
      <c r="I303" s="1">
        <v>38.6</v>
      </c>
      <c r="J303" s="1">
        <v>126.5</v>
      </c>
      <c r="K303" s="1">
        <v>124.6</v>
      </c>
      <c r="L303" s="1">
        <v>106.1</v>
      </c>
      <c r="M303" s="1">
        <v>128</v>
      </c>
      <c r="N303" s="1">
        <f t="shared" si="28"/>
        <v>1179.7</v>
      </c>
      <c r="O303">
        <f t="shared" si="24"/>
        <v>371.6</v>
      </c>
      <c r="P303">
        <f t="shared" si="25"/>
        <v>357.7</v>
      </c>
      <c r="Q303">
        <f t="shared" si="26"/>
        <v>217.1</v>
      </c>
      <c r="R303">
        <f t="shared" si="27"/>
        <v>357.2</v>
      </c>
    </row>
    <row r="304" spans="1:18" x14ac:dyDescent="0.2">
      <c r="A304" s="1">
        <v>2009</v>
      </c>
      <c r="B304" s="1">
        <v>128</v>
      </c>
      <c r="C304" s="1">
        <v>115.6</v>
      </c>
      <c r="D304" s="1">
        <v>153.1</v>
      </c>
      <c r="E304" s="1">
        <v>50.8</v>
      </c>
      <c r="F304" s="1">
        <v>69.2</v>
      </c>
      <c r="G304" s="1">
        <v>336.2</v>
      </c>
      <c r="H304" s="1">
        <v>174.2</v>
      </c>
      <c r="I304" s="1">
        <v>234</v>
      </c>
      <c r="J304" s="1">
        <v>83.5</v>
      </c>
      <c r="K304" s="1">
        <v>185.4</v>
      </c>
      <c r="L304" s="1">
        <v>55.5</v>
      </c>
      <c r="M304" s="1">
        <v>285.3</v>
      </c>
      <c r="N304" s="1">
        <f t="shared" si="28"/>
        <v>1870.8000000000002</v>
      </c>
      <c r="O304">
        <f t="shared" si="24"/>
        <v>621.70000000000005</v>
      </c>
      <c r="P304">
        <f t="shared" si="25"/>
        <v>273.09999999999997</v>
      </c>
      <c r="Q304">
        <f t="shared" si="26"/>
        <v>744.4</v>
      </c>
      <c r="R304">
        <f t="shared" si="27"/>
        <v>324.39999999999998</v>
      </c>
    </row>
    <row r="305" spans="1:18" x14ac:dyDescent="0.2">
      <c r="A305" s="1">
        <v>2010</v>
      </c>
      <c r="B305" s="1">
        <v>182.8</v>
      </c>
      <c r="C305" s="1">
        <v>153.6</v>
      </c>
      <c r="D305" s="1">
        <v>104.1</v>
      </c>
      <c r="E305" s="1">
        <v>156.4</v>
      </c>
      <c r="F305" s="1">
        <v>157.6</v>
      </c>
      <c r="G305" s="1">
        <v>248.7</v>
      </c>
      <c r="H305" s="1">
        <v>71.400000000000006</v>
      </c>
      <c r="I305" s="1">
        <v>39.6</v>
      </c>
      <c r="J305" s="1">
        <v>230.5</v>
      </c>
      <c r="K305" s="1">
        <v>138.80000000000001</v>
      </c>
      <c r="L305" s="1">
        <v>309.60000000000002</v>
      </c>
      <c r="M305" s="1">
        <v>203.1</v>
      </c>
      <c r="N305" s="1">
        <f t="shared" si="28"/>
        <v>1996.1999999999998</v>
      </c>
      <c r="O305">
        <f t="shared" si="24"/>
        <v>346.8</v>
      </c>
      <c r="P305">
        <f t="shared" si="25"/>
        <v>418.1</v>
      </c>
      <c r="Q305">
        <f t="shared" si="26"/>
        <v>359.70000000000005</v>
      </c>
      <c r="R305">
        <f t="shared" si="27"/>
        <v>678.90000000000009</v>
      </c>
    </row>
    <row r="306" spans="1:18" x14ac:dyDescent="0.2">
      <c r="A306" s="1">
        <v>2011</v>
      </c>
      <c r="B306" s="1">
        <v>93.5</v>
      </c>
      <c r="C306" s="1">
        <v>50.2</v>
      </c>
      <c r="D306" s="1">
        <v>36</v>
      </c>
      <c r="E306" s="1">
        <v>33.200000000000003</v>
      </c>
      <c r="F306" s="1">
        <v>184.7</v>
      </c>
      <c r="G306" s="1">
        <v>74.900000000000006</v>
      </c>
      <c r="H306" s="1">
        <v>162.5</v>
      </c>
      <c r="I306" s="1">
        <v>17.2</v>
      </c>
      <c r="J306" s="1">
        <v>69.8</v>
      </c>
      <c r="K306" s="1">
        <v>92.5</v>
      </c>
      <c r="L306" s="1">
        <v>19.2</v>
      </c>
      <c r="M306" s="1">
        <v>138.19999999999999</v>
      </c>
      <c r="N306" s="1">
        <f t="shared" si="28"/>
        <v>971.90000000000009</v>
      </c>
      <c r="O306">
        <f t="shared" si="24"/>
        <v>423.5</v>
      </c>
      <c r="P306">
        <f t="shared" si="25"/>
        <v>253.89999999999998</v>
      </c>
      <c r="Q306">
        <f t="shared" si="26"/>
        <v>254.6</v>
      </c>
      <c r="R306">
        <f t="shared" si="27"/>
        <v>181.5</v>
      </c>
    </row>
    <row r="307" spans="1:18" x14ac:dyDescent="0.2">
      <c r="A307" s="1">
        <v>2012</v>
      </c>
      <c r="B307" s="1">
        <v>85.7</v>
      </c>
      <c r="C307" s="1">
        <v>199.6</v>
      </c>
      <c r="D307" s="1">
        <v>6.5</v>
      </c>
      <c r="E307" s="1">
        <v>140.9</v>
      </c>
      <c r="F307" s="1">
        <v>119.7</v>
      </c>
      <c r="G307" s="1">
        <v>27.4</v>
      </c>
      <c r="H307" s="1">
        <v>74.400000000000006</v>
      </c>
      <c r="I307" s="1">
        <v>18.3</v>
      </c>
      <c r="J307" s="1">
        <v>115.8</v>
      </c>
      <c r="K307" s="1">
        <v>175.9</v>
      </c>
      <c r="L307" s="1">
        <v>146.80000000000001</v>
      </c>
      <c r="M307" s="1">
        <v>149.9</v>
      </c>
      <c r="N307" s="1">
        <f t="shared" si="28"/>
        <v>1260.9000000000001</v>
      </c>
      <c r="O307">
        <f t="shared" si="24"/>
        <v>518.29999999999995</v>
      </c>
      <c r="P307">
        <f t="shared" si="25"/>
        <v>267.10000000000002</v>
      </c>
      <c r="Q307">
        <f t="shared" si="26"/>
        <v>120.10000000000001</v>
      </c>
      <c r="R307">
        <f t="shared" si="27"/>
        <v>438.5</v>
      </c>
    </row>
    <row r="308" spans="1:18" x14ac:dyDescent="0.2">
      <c r="A308" s="1">
        <v>2013</v>
      </c>
      <c r="B308" s="1">
        <v>172.5</v>
      </c>
      <c r="C308" s="1">
        <v>195.9</v>
      </c>
      <c r="D308" s="1">
        <v>184.8</v>
      </c>
      <c r="E308" s="1">
        <v>75.099999999999994</v>
      </c>
      <c r="F308" s="1">
        <v>113.7</v>
      </c>
      <c r="G308" s="1">
        <v>101.5</v>
      </c>
      <c r="H308" s="1">
        <v>54.3</v>
      </c>
      <c r="I308" s="1">
        <v>106.8</v>
      </c>
      <c r="J308" s="1">
        <v>155.4</v>
      </c>
      <c r="K308" s="1">
        <v>157.4</v>
      </c>
      <c r="L308" s="1">
        <v>300</v>
      </c>
      <c r="M308" s="1">
        <v>11.9</v>
      </c>
      <c r="N308" s="1">
        <f t="shared" si="28"/>
        <v>1629.3000000000002</v>
      </c>
      <c r="O308">
        <f t="shared" si="24"/>
        <v>181.60000000000002</v>
      </c>
      <c r="P308">
        <f t="shared" si="25"/>
        <v>373.59999999999997</v>
      </c>
      <c r="Q308">
        <f t="shared" si="26"/>
        <v>262.60000000000002</v>
      </c>
      <c r="R308">
        <f t="shared" si="27"/>
        <v>612.79999999999995</v>
      </c>
    </row>
    <row r="309" spans="1:18" x14ac:dyDescent="0.2">
      <c r="A309" s="1">
        <v>2014</v>
      </c>
      <c r="B309" s="1">
        <v>91</v>
      </c>
      <c r="C309" s="1">
        <v>78.7</v>
      </c>
      <c r="D309" s="1">
        <v>109</v>
      </c>
      <c r="E309" s="1">
        <v>210.7</v>
      </c>
      <c r="F309" s="1">
        <v>185.8</v>
      </c>
      <c r="G309" s="1">
        <v>170.1</v>
      </c>
      <c r="H309" s="1">
        <v>198.5</v>
      </c>
      <c r="I309" s="1">
        <v>70.900000000000006</v>
      </c>
      <c r="J309" s="1">
        <v>215.4</v>
      </c>
      <c r="K309" s="1">
        <v>92.1</v>
      </c>
      <c r="L309" s="1">
        <v>139.4</v>
      </c>
      <c r="M309" s="1">
        <v>211.1</v>
      </c>
      <c r="N309" s="1">
        <f t="shared" si="28"/>
        <v>1772.7000000000003</v>
      </c>
      <c r="O309">
        <f t="shared" si="24"/>
        <v>515.5</v>
      </c>
      <c r="P309">
        <f t="shared" si="25"/>
        <v>505.5</v>
      </c>
      <c r="Q309">
        <f t="shared" si="26"/>
        <v>439.5</v>
      </c>
      <c r="R309">
        <f t="shared" si="27"/>
        <v>446.9</v>
      </c>
    </row>
    <row r="310" spans="1:18" x14ac:dyDescent="0.2">
      <c r="A310" s="1">
        <v>2015</v>
      </c>
      <c r="B310" s="1">
        <v>173.4</v>
      </c>
      <c r="C310" s="1">
        <v>131</v>
      </c>
      <c r="D310" s="1">
        <v>143.80000000000001</v>
      </c>
      <c r="E310" s="1">
        <v>73.3</v>
      </c>
      <c r="F310" s="1">
        <v>38.200000000000003</v>
      </c>
      <c r="G310" s="1">
        <v>118.6</v>
      </c>
      <c r="H310" s="1">
        <v>25.7</v>
      </c>
      <c r="I310" s="1">
        <v>68.400000000000006</v>
      </c>
      <c r="J310" s="1">
        <v>77.8</v>
      </c>
      <c r="K310" s="1">
        <v>315.39999999999998</v>
      </c>
      <c r="L310" s="1">
        <v>178.4</v>
      </c>
      <c r="M310" s="1">
        <v>1.6</v>
      </c>
      <c r="N310" s="1">
        <f t="shared" si="28"/>
        <v>1345.6</v>
      </c>
      <c r="O310">
        <f t="shared" si="24"/>
        <v>250.5</v>
      </c>
      <c r="P310">
        <f t="shared" si="25"/>
        <v>255.3</v>
      </c>
      <c r="Q310">
        <f t="shared" si="26"/>
        <v>212.7</v>
      </c>
      <c r="R310">
        <f t="shared" si="27"/>
        <v>571.6</v>
      </c>
    </row>
    <row r="311" spans="1:18" x14ac:dyDescent="0.2">
      <c r="A311" s="1">
        <v>2016</v>
      </c>
      <c r="B311" s="1">
        <v>96.1</v>
      </c>
      <c r="C311" s="1">
        <v>152.80000000000001</v>
      </c>
      <c r="D311" s="1">
        <v>174</v>
      </c>
      <c r="E311" s="1">
        <v>85.8</v>
      </c>
      <c r="F311" s="1">
        <v>107.7</v>
      </c>
      <c r="G311" s="1">
        <v>179.6</v>
      </c>
      <c r="H311" s="1">
        <v>43.9</v>
      </c>
      <c r="I311" s="1">
        <v>62.2</v>
      </c>
      <c r="J311" s="1">
        <v>118.2</v>
      </c>
      <c r="K311" s="1">
        <v>107.4</v>
      </c>
      <c r="L311" s="1">
        <v>205.3</v>
      </c>
      <c r="M311" s="1">
        <v>17.8</v>
      </c>
      <c r="N311" s="1">
        <f t="shared" si="28"/>
        <v>1350.8</v>
      </c>
      <c r="O311">
        <f t="shared" si="24"/>
        <v>192.3</v>
      </c>
      <c r="P311">
        <f t="shared" si="25"/>
        <v>367.5</v>
      </c>
      <c r="Q311">
        <f t="shared" si="26"/>
        <v>285.7</v>
      </c>
      <c r="R311">
        <f t="shared" si="27"/>
        <v>430.90000000000003</v>
      </c>
    </row>
    <row r="312" spans="1:18" x14ac:dyDescent="0.2">
      <c r="A312" s="1">
        <v>2017</v>
      </c>
      <c r="B312" s="1">
        <v>85.1</v>
      </c>
      <c r="C312" s="1">
        <v>89.4</v>
      </c>
      <c r="D312" s="1">
        <v>76.2</v>
      </c>
      <c r="E312" s="1">
        <v>107.9</v>
      </c>
      <c r="F312" s="1">
        <v>87</v>
      </c>
      <c r="G312" s="1">
        <v>106.2</v>
      </c>
      <c r="H312" s="1">
        <v>96.2</v>
      </c>
      <c r="I312" s="1">
        <v>14.7</v>
      </c>
      <c r="J312" s="1">
        <v>179.2</v>
      </c>
      <c r="K312" s="1">
        <v>71.3</v>
      </c>
      <c r="L312" s="1">
        <v>126.9</v>
      </c>
      <c r="M312" s="1">
        <v>170.6</v>
      </c>
      <c r="N312" s="1">
        <f t="shared" si="28"/>
        <v>1210.7</v>
      </c>
      <c r="O312">
        <f t="shared" si="24"/>
        <v>431.2</v>
      </c>
      <c r="P312">
        <f t="shared" si="25"/>
        <v>271.10000000000002</v>
      </c>
      <c r="Q312">
        <f t="shared" si="26"/>
        <v>217.1</v>
      </c>
      <c r="R312">
        <f t="shared" si="27"/>
        <v>377.4</v>
      </c>
    </row>
    <row r="313" spans="1:18" x14ac:dyDescent="0.2">
      <c r="A313" s="1">
        <v>2018</v>
      </c>
      <c r="B313" s="1">
        <v>110.9</v>
      </c>
      <c r="C313" s="1">
        <v>149.69999999999999</v>
      </c>
      <c r="D313" s="1">
        <v>160.1</v>
      </c>
      <c r="E313" s="1">
        <v>66.7</v>
      </c>
      <c r="F313" s="1">
        <v>167.6</v>
      </c>
      <c r="G313" s="1">
        <v>175.1</v>
      </c>
      <c r="H313" s="1">
        <v>127.3</v>
      </c>
      <c r="I313" s="1">
        <v>65.5</v>
      </c>
      <c r="J313" s="1">
        <v>29.5</v>
      </c>
      <c r="K313" s="1">
        <v>141.80000000000001</v>
      </c>
      <c r="L313" s="1">
        <v>114.4</v>
      </c>
      <c r="M313" s="1">
        <v>94.5</v>
      </c>
      <c r="N313" s="1">
        <v>1403.1</v>
      </c>
      <c r="O313">
        <f t="shared" si="24"/>
        <v>344.4</v>
      </c>
      <c r="P313">
        <f t="shared" si="25"/>
        <v>394.4</v>
      </c>
      <c r="Q313">
        <f t="shared" si="26"/>
        <v>367.9</v>
      </c>
      <c r="R313">
        <f t="shared" si="27"/>
        <v>285.70000000000005</v>
      </c>
    </row>
    <row r="314" spans="1:18" x14ac:dyDescent="0.2">
      <c r="A314" s="1">
        <v>2019</v>
      </c>
      <c r="B314" s="1">
        <v>166.3</v>
      </c>
      <c r="C314" s="1">
        <v>83.6</v>
      </c>
      <c r="D314" s="1">
        <v>70</v>
      </c>
      <c r="E314" s="1">
        <v>91.6</v>
      </c>
      <c r="F314" s="1">
        <v>145.1</v>
      </c>
      <c r="G314" s="1">
        <v>44.9</v>
      </c>
      <c r="H314" s="1">
        <v>99.8</v>
      </c>
      <c r="I314" s="1">
        <v>102</v>
      </c>
      <c r="J314" s="1">
        <v>29.9</v>
      </c>
      <c r="K314" s="1">
        <v>10.1</v>
      </c>
      <c r="L314" s="1">
        <v>128.9</v>
      </c>
      <c r="M314" s="1">
        <v>77.5</v>
      </c>
      <c r="N314" s="1">
        <v>1049.7</v>
      </c>
      <c r="O314">
        <f t="shared" si="24"/>
        <v>160.4</v>
      </c>
      <c r="P314">
        <f t="shared" si="25"/>
        <v>306.7</v>
      </c>
      <c r="Q314">
        <f t="shared" si="26"/>
        <v>246.7</v>
      </c>
      <c r="R314">
        <f t="shared" si="27"/>
        <v>168.9</v>
      </c>
    </row>
    <row r="315" spans="1:18" x14ac:dyDescent="0.2">
      <c r="A315" s="1">
        <v>2020</v>
      </c>
      <c r="B315" s="1">
        <v>28.5</v>
      </c>
      <c r="C315" s="1">
        <v>54.4</v>
      </c>
      <c r="D315" s="1">
        <v>42.7</v>
      </c>
      <c r="E315" s="1">
        <v>40.6</v>
      </c>
      <c r="F315" s="1">
        <v>70.3</v>
      </c>
      <c r="G315" s="1">
        <v>89.4</v>
      </c>
      <c r="H315" s="1">
        <v>65.7</v>
      </c>
      <c r="I315" s="1">
        <v>65.7</v>
      </c>
      <c r="J315" s="1">
        <v>86.9</v>
      </c>
      <c r="K315" s="1">
        <v>99.7</v>
      </c>
      <c r="L315" s="1">
        <v>12.9</v>
      </c>
      <c r="M315" s="1">
        <v>137.19999999999999</v>
      </c>
      <c r="N315" s="1">
        <v>794</v>
      </c>
      <c r="P315">
        <f t="shared" si="25"/>
        <v>153.60000000000002</v>
      </c>
      <c r="Q315">
        <f t="shared" si="26"/>
        <v>220.8</v>
      </c>
      <c r="R315">
        <f t="shared" si="27"/>
        <v>199.50000000000003</v>
      </c>
    </row>
    <row r="316" spans="1:18" x14ac:dyDescent="0.2">
      <c r="N316" s="21">
        <f>AVERAGE(N256:N315)</f>
        <v>1195.3400265472783</v>
      </c>
      <c r="O316" s="21">
        <f t="shared" ref="O316:R316" si="30">AVERAGE(O256:O315)</f>
        <v>273.63643131122575</v>
      </c>
      <c r="P316" s="21">
        <f t="shared" si="30"/>
        <v>269.61287505296372</v>
      </c>
      <c r="Q316" s="21">
        <f t="shared" si="30"/>
        <v>295.16029308469746</v>
      </c>
      <c r="R316" s="21">
        <f t="shared" si="30"/>
        <v>358.35436762024517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PROTICAJI</vt:lpstr>
      <vt:lpstr>TEMP</vt:lpstr>
      <vt:lpstr>PADAVINE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Slobodan Gnjato</dc:creator>
  <cp:lastModifiedBy>Slobodan Gnjato</cp:lastModifiedBy>
  <dcterms:created xsi:type="dcterms:W3CDTF">2025-01-22T11:23:35Z</dcterms:created>
  <dcterms:modified xsi:type="dcterms:W3CDTF">2026-01-04T15:23:00Z</dcterms:modified>
</cp:coreProperties>
</file>